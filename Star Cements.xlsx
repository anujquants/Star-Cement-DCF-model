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Users\anuj8\Downloads\Star Cements\"/>
    </mc:Choice>
  </mc:AlternateContent>
  <xr:revisionPtr revIDLastSave="0" documentId="13_ncr:1_{C8C31401-800A-4F7D-AC78-E91FA415E6FA}" xr6:coauthVersionLast="47" xr6:coauthVersionMax="47" xr10:uidLastSave="{00000000-0000-0000-0000-000000000000}"/>
  <bookViews>
    <workbookView xWindow="-108" yWindow="-108" windowWidth="23256" windowHeight="12456" tabRatio="887" activeTab="1" xr2:uid="{00000000-000D-0000-FFFF-FFFF00000000}"/>
  </bookViews>
  <sheets>
    <sheet name="Index " sheetId="15" r:id="rId1"/>
    <sheet name="Assumptions" sheetId="11" r:id="rId2"/>
    <sheet name="Historical" sheetId="1" r:id="rId3"/>
    <sheet name="Model" sheetId="4" r:id="rId4"/>
    <sheet name="Ratio Analysis" sheetId="12" r:id="rId5"/>
    <sheet name="Scenario Analysis" sheetId="5" r:id="rId6"/>
    <sheet name="Comp Data" sheetId="6" r:id="rId7"/>
    <sheet name="Comps" sheetId="7" r:id="rId8"/>
    <sheet name="WACC" sheetId="8" r:id="rId9"/>
    <sheet name="Beta" sheetId="9" r:id="rId10"/>
    <sheet name="Market Data" sheetId="10" r:id="rId11"/>
    <sheet name="Football Field Analysis" sheetId="13" r:id="rId12"/>
  </sheets>
  <definedNames>
    <definedName name="Perpetual_Growth_Rate">Model!$E$140</definedName>
    <definedName name="Riskfreerate">WACC!$H$45</definedName>
    <definedName name="solver_eng" localSheetId="9" hidden="1">1</definedName>
    <definedName name="solver_neg" localSheetId="9" hidden="1">1</definedName>
    <definedName name="solver_num" localSheetId="9" hidden="1">0</definedName>
    <definedName name="solver_opt" localSheetId="9" hidden="1">Beta!$I$7</definedName>
    <definedName name="solver_typ" localSheetId="9" hidden="1">1</definedName>
    <definedName name="solver_val" localSheetId="9" hidden="1">0</definedName>
    <definedName name="solver_ver" localSheetId="9" hidden="1">3</definedName>
    <definedName name="WACC">Model!$E$141</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8" i="13" l="1"/>
  <c r="H10" i="13"/>
  <c r="H8" i="13"/>
  <c r="K22" i="8" l="1"/>
  <c r="L22" i="8"/>
  <c r="K23" i="8"/>
  <c r="L23" i="8"/>
  <c r="M22" i="8"/>
  <c r="M23" i="8"/>
  <c r="J23" i="8"/>
  <c r="J22" i="8"/>
  <c r="I23" i="8"/>
  <c r="I22" i="8"/>
  <c r="H23" i="8"/>
  <c r="H22" i="8"/>
  <c r="H17" i="11"/>
  <c r="C10" i="11" s="1"/>
  <c r="J167" i="4"/>
  <c r="J173" i="4" s="1"/>
  <c r="H19" i="7"/>
  <c r="H9" i="10"/>
  <c r="H12" i="10"/>
  <c r="H11" i="10"/>
  <c r="H10" i="10"/>
  <c r="D265" i="10"/>
  <c r="E265" i="10"/>
  <c r="E264" i="10"/>
  <c r="A265" i="10" a="1"/>
  <c r="A265" i="10" s="1"/>
  <c r="I12" i="9"/>
  <c r="I11" i="9"/>
  <c r="D265" i="9"/>
  <c r="E265" i="9"/>
  <c r="A265" i="9"/>
  <c r="P7" i="5"/>
  <c r="Q7" i="5" s="1"/>
  <c r="O7" i="5"/>
  <c r="J7" i="5"/>
  <c r="K7" i="5" s="1"/>
  <c r="L7" i="5" s="1"/>
  <c r="M7" i="5" s="1"/>
  <c r="N7" i="5" s="1"/>
  <c r="I7" i="5"/>
  <c r="I5" i="5"/>
  <c r="G23" i="12"/>
  <c r="H15" i="11"/>
  <c r="C4" i="11"/>
  <c r="H14" i="12"/>
  <c r="R18" i="4"/>
  <c r="S18" i="4"/>
  <c r="T18" i="4" s="1"/>
  <c r="U18" i="4" s="1"/>
  <c r="V18" i="4" s="1"/>
  <c r="Q18" i="4"/>
  <c r="P18" i="4"/>
  <c r="L18" i="4"/>
  <c r="K18" i="4"/>
  <c r="J18" i="4"/>
  <c r="I18" i="4"/>
  <c r="H18" i="4"/>
  <c r="G8" i="12"/>
  <c r="H112" i="4"/>
  <c r="I112" i="4"/>
  <c r="J112" i="4"/>
  <c r="K112" i="4"/>
  <c r="L112" i="4"/>
  <c r="H113" i="4"/>
  <c r="I113" i="4"/>
  <c r="I117" i="4" s="1"/>
  <c r="J113" i="4"/>
  <c r="J117" i="4" s="1"/>
  <c r="K113" i="4"/>
  <c r="K117" i="4" s="1"/>
  <c r="L113" i="4"/>
  <c r="L117" i="4" s="1"/>
  <c r="H114" i="4"/>
  <c r="I114" i="4"/>
  <c r="J114" i="4"/>
  <c r="K114" i="4"/>
  <c r="L114" i="4"/>
  <c r="H115" i="4"/>
  <c r="I115" i="4"/>
  <c r="J115" i="4"/>
  <c r="K115" i="4"/>
  <c r="L115" i="4"/>
  <c r="H116" i="4"/>
  <c r="I116" i="4"/>
  <c r="J116" i="4"/>
  <c r="K116" i="4"/>
  <c r="L116" i="4"/>
  <c r="M116" i="4"/>
  <c r="N116" i="4"/>
  <c r="O116" i="4"/>
  <c r="P116" i="4"/>
  <c r="Q116" i="4"/>
  <c r="R116" i="4"/>
  <c r="S116" i="4"/>
  <c r="T116" i="4"/>
  <c r="U116" i="4"/>
  <c r="V116" i="4"/>
  <c r="H117" i="4"/>
  <c r="I120" i="4"/>
  <c r="I121" i="4" s="1"/>
  <c r="J120" i="4"/>
  <c r="J121" i="4" s="1"/>
  <c r="H122" i="4"/>
  <c r="I122" i="4"/>
  <c r="J122" i="4"/>
  <c r="K122" i="4"/>
  <c r="L122" i="4"/>
  <c r="M122" i="4"/>
  <c r="H123" i="4"/>
  <c r="I123" i="4"/>
  <c r="J123" i="4"/>
  <c r="K120" i="4" s="1"/>
  <c r="K121" i="4" s="1"/>
  <c r="K123" i="4"/>
  <c r="L120" i="4" s="1"/>
  <c r="L121" i="4" s="1"/>
  <c r="L123" i="4"/>
  <c r="M120" i="4" s="1"/>
  <c r="I126" i="4"/>
  <c r="H127" i="4"/>
  <c r="I127" i="4"/>
  <c r="H128" i="4"/>
  <c r="I128" i="4"/>
  <c r="J126" i="4" s="1"/>
  <c r="J127" i="4" s="1"/>
  <c r="J128" i="4"/>
  <c r="K126" i="4" s="1"/>
  <c r="K127" i="4" s="1"/>
  <c r="K128" i="4"/>
  <c r="L126" i="4" s="1"/>
  <c r="L127" i="4" s="1"/>
  <c r="L128" i="4"/>
  <c r="M126" i="4" s="1"/>
  <c r="H129" i="4"/>
  <c r="I129" i="4"/>
  <c r="J129" i="4"/>
  <c r="K129" i="4"/>
  <c r="L129" i="4"/>
  <c r="M62" i="4"/>
  <c r="M14" i="4"/>
  <c r="N14" i="4" s="1"/>
  <c r="O14" i="4" s="1"/>
  <c r="P14" i="4" s="1"/>
  <c r="Q14" i="4" s="1"/>
  <c r="R14" i="4" s="1"/>
  <c r="S14" i="4" s="1"/>
  <c r="T14" i="4" s="1"/>
  <c r="U14" i="4" s="1"/>
  <c r="V14" i="4" s="1"/>
  <c r="H20" i="12"/>
  <c r="H13" i="4"/>
  <c r="G6" i="12"/>
  <c r="I21" i="1"/>
  <c r="J21" i="1"/>
  <c r="K21" i="1"/>
  <c r="L21" i="1"/>
  <c r="H21" i="1"/>
  <c r="E10" i="5"/>
  <c r="E6" i="5"/>
  <c r="M8" i="4"/>
  <c r="H31" i="12"/>
  <c r="I31" i="12"/>
  <c r="J31" i="12"/>
  <c r="K31" i="12"/>
  <c r="G31" i="12"/>
  <c r="G40" i="12"/>
  <c r="L14" i="4"/>
  <c r="I94" i="4"/>
  <c r="J94" i="4"/>
  <c r="K94" i="4"/>
  <c r="L94" i="4"/>
  <c r="H94" i="4"/>
  <c r="L100" i="4"/>
  <c r="E142" i="4"/>
  <c r="E139" i="4"/>
  <c r="A5" i="10" l="1"/>
  <c r="B5" i="10"/>
  <c r="C5" i="10"/>
  <c r="A6" i="10"/>
  <c r="B6" i="10"/>
  <c r="C6" i="10"/>
  <c r="A7" i="10"/>
  <c r="B7" i="10"/>
  <c r="C7" i="10"/>
  <c r="A8" i="10"/>
  <c r="B8" i="10"/>
  <c r="C8" i="10"/>
  <c r="A9" i="10"/>
  <c r="B9" i="10"/>
  <c r="C9" i="10"/>
  <c r="A10" i="10"/>
  <c r="B10" i="10"/>
  <c r="C10" i="10"/>
  <c r="A11" i="10"/>
  <c r="B11" i="10"/>
  <c r="C11" i="10"/>
  <c r="A12" i="10"/>
  <c r="B12" i="10"/>
  <c r="C12" i="10"/>
  <c r="A13" i="10"/>
  <c r="B13" i="10"/>
  <c r="C13" i="10"/>
  <c r="A14" i="10"/>
  <c r="B14" i="10"/>
  <c r="C14" i="10"/>
  <c r="A15" i="10"/>
  <c r="B15" i="10"/>
  <c r="C15" i="10"/>
  <c r="A16" i="10"/>
  <c r="B16" i="10"/>
  <c r="C16" i="10"/>
  <c r="A17" i="10"/>
  <c r="B17" i="10"/>
  <c r="C17" i="10"/>
  <c r="A18" i="10"/>
  <c r="B18" i="10"/>
  <c r="C18" i="10"/>
  <c r="A19" i="10"/>
  <c r="B19" i="10"/>
  <c r="C19" i="10"/>
  <c r="A20" i="10"/>
  <c r="B20" i="10"/>
  <c r="C20" i="10"/>
  <c r="A21" i="10"/>
  <c r="B21" i="10"/>
  <c r="C21" i="10"/>
  <c r="A22" i="10"/>
  <c r="B22" i="10"/>
  <c r="C22" i="10"/>
  <c r="A23" i="10"/>
  <c r="B23" i="10"/>
  <c r="C23" i="10"/>
  <c r="A24" i="10"/>
  <c r="B24" i="10"/>
  <c r="C24" i="10"/>
  <c r="A25" i="10"/>
  <c r="B25" i="10"/>
  <c r="C25" i="10"/>
  <c r="A26" i="10"/>
  <c r="B26" i="10"/>
  <c r="C26" i="10"/>
  <c r="A27" i="10"/>
  <c r="B27" i="10"/>
  <c r="C27" i="10"/>
  <c r="A28" i="10"/>
  <c r="B28" i="10"/>
  <c r="C28" i="10"/>
  <c r="A29" i="10"/>
  <c r="B29" i="10"/>
  <c r="C29" i="10"/>
  <c r="A30" i="10"/>
  <c r="B30" i="10"/>
  <c r="C30" i="10"/>
  <c r="A31" i="10"/>
  <c r="B31" i="10"/>
  <c r="C31" i="10"/>
  <c r="A32" i="10"/>
  <c r="B32" i="10"/>
  <c r="C32" i="10"/>
  <c r="A33" i="10"/>
  <c r="B33" i="10"/>
  <c r="C33" i="10"/>
  <c r="A34" i="10"/>
  <c r="B34" i="10"/>
  <c r="C34" i="10"/>
  <c r="A35" i="10"/>
  <c r="B35" i="10"/>
  <c r="C35" i="10"/>
  <c r="A36" i="10"/>
  <c r="B36" i="10"/>
  <c r="C36" i="10"/>
  <c r="A37" i="10"/>
  <c r="B37" i="10"/>
  <c r="C37" i="10"/>
  <c r="A38" i="10"/>
  <c r="B38" i="10"/>
  <c r="C38" i="10"/>
  <c r="A39" i="10"/>
  <c r="B39" i="10"/>
  <c r="C39" i="10"/>
  <c r="A40" i="10"/>
  <c r="B40" i="10"/>
  <c r="C40" i="10"/>
  <c r="A41" i="10"/>
  <c r="B41" i="10"/>
  <c r="C41" i="10"/>
  <c r="A42" i="10"/>
  <c r="B42" i="10"/>
  <c r="C42" i="10"/>
  <c r="A43" i="10"/>
  <c r="B43" i="10"/>
  <c r="C43" i="10"/>
  <c r="A44" i="10"/>
  <c r="B44" i="10"/>
  <c r="C44" i="10"/>
  <c r="A45" i="10"/>
  <c r="B45" i="10"/>
  <c r="C45" i="10"/>
  <c r="A46" i="10"/>
  <c r="B46" i="10"/>
  <c r="C46" i="10"/>
  <c r="A47" i="10"/>
  <c r="B47" i="10"/>
  <c r="C47" i="10"/>
  <c r="A48" i="10"/>
  <c r="B48" i="10"/>
  <c r="C48" i="10"/>
  <c r="A49" i="10"/>
  <c r="B49" i="10"/>
  <c r="C49" i="10"/>
  <c r="A50" i="10"/>
  <c r="B50" i="10"/>
  <c r="C50" i="10"/>
  <c r="A51" i="10"/>
  <c r="B51" i="10"/>
  <c r="C51" i="10"/>
  <c r="A52" i="10"/>
  <c r="B52" i="10"/>
  <c r="C52" i="10"/>
  <c r="A53" i="10"/>
  <c r="B53" i="10"/>
  <c r="C53" i="10"/>
  <c r="A54" i="10"/>
  <c r="B54" i="10"/>
  <c r="C54" i="10"/>
  <c r="A55" i="10"/>
  <c r="B55" i="10"/>
  <c r="C55" i="10"/>
  <c r="A56" i="10"/>
  <c r="B56" i="10"/>
  <c r="C56" i="10"/>
  <c r="A57" i="10"/>
  <c r="B57" i="10"/>
  <c r="C57" i="10"/>
  <c r="A58" i="10"/>
  <c r="B58" i="10"/>
  <c r="C58" i="10"/>
  <c r="A59" i="10"/>
  <c r="B59" i="10"/>
  <c r="C59" i="10"/>
  <c r="A60" i="10"/>
  <c r="B60" i="10"/>
  <c r="C60" i="10"/>
  <c r="A61" i="10"/>
  <c r="B61" i="10"/>
  <c r="C61" i="10"/>
  <c r="A62" i="10"/>
  <c r="B62" i="10"/>
  <c r="C62" i="10"/>
  <c r="A63" i="10"/>
  <c r="B63" i="10"/>
  <c r="C63" i="10"/>
  <c r="A64" i="10"/>
  <c r="B64" i="10"/>
  <c r="C64" i="10"/>
  <c r="A65" i="10"/>
  <c r="B65" i="10"/>
  <c r="C65" i="10"/>
  <c r="A66" i="10"/>
  <c r="B66" i="10"/>
  <c r="C66" i="10"/>
  <c r="A67" i="10"/>
  <c r="B67" i="10"/>
  <c r="C67" i="10"/>
  <c r="A68" i="10"/>
  <c r="B68" i="10"/>
  <c r="C68" i="10"/>
  <c r="A69" i="10"/>
  <c r="B69" i="10"/>
  <c r="C69" i="10"/>
  <c r="A70" i="10"/>
  <c r="B70" i="10"/>
  <c r="C70" i="10"/>
  <c r="A71" i="10"/>
  <c r="B71" i="10"/>
  <c r="C71" i="10"/>
  <c r="A72" i="10"/>
  <c r="B72" i="10"/>
  <c r="C72" i="10"/>
  <c r="A73" i="10"/>
  <c r="B73" i="10"/>
  <c r="C73" i="10"/>
  <c r="A74" i="10"/>
  <c r="B74" i="10"/>
  <c r="C74" i="10"/>
  <c r="A75" i="10"/>
  <c r="B75" i="10"/>
  <c r="C75" i="10"/>
  <c r="A76" i="10"/>
  <c r="B76" i="10"/>
  <c r="C76" i="10"/>
  <c r="A77" i="10"/>
  <c r="B77" i="10"/>
  <c r="C77" i="10"/>
  <c r="A78" i="10"/>
  <c r="B78" i="10"/>
  <c r="C78" i="10"/>
  <c r="A79" i="10"/>
  <c r="B79" i="10"/>
  <c r="C79" i="10"/>
  <c r="A80" i="10"/>
  <c r="B80" i="10"/>
  <c r="C80" i="10"/>
  <c r="A81" i="10"/>
  <c r="B81" i="10"/>
  <c r="C81" i="10"/>
  <c r="A82" i="10"/>
  <c r="B82" i="10"/>
  <c r="C82" i="10"/>
  <c r="A83" i="10"/>
  <c r="B83" i="10"/>
  <c r="C83" i="10"/>
  <c r="A84" i="10"/>
  <c r="B84" i="10"/>
  <c r="C84" i="10"/>
  <c r="A85" i="10"/>
  <c r="B85" i="10"/>
  <c r="C85" i="10"/>
  <c r="A86" i="10"/>
  <c r="B86" i="10"/>
  <c r="C86" i="10"/>
  <c r="A87" i="10"/>
  <c r="B87" i="10"/>
  <c r="C87" i="10"/>
  <c r="A88" i="10"/>
  <c r="B88" i="10"/>
  <c r="C88" i="10"/>
  <c r="A89" i="10"/>
  <c r="B89" i="10"/>
  <c r="C89" i="10"/>
  <c r="A90" i="10"/>
  <c r="B90" i="10"/>
  <c r="C90" i="10"/>
  <c r="A91" i="10"/>
  <c r="B91" i="10"/>
  <c r="C91" i="10"/>
  <c r="A92" i="10"/>
  <c r="B92" i="10"/>
  <c r="C92" i="10"/>
  <c r="A93" i="10"/>
  <c r="B93" i="10"/>
  <c r="C93" i="10"/>
  <c r="A94" i="10"/>
  <c r="B94" i="10"/>
  <c r="C94" i="10"/>
  <c r="A95" i="10"/>
  <c r="B95" i="10"/>
  <c r="C95" i="10"/>
  <c r="A96" i="10"/>
  <c r="B96" i="10"/>
  <c r="C96" i="10"/>
  <c r="A97" i="10"/>
  <c r="B97" i="10"/>
  <c r="C97" i="10"/>
  <c r="A98" i="10"/>
  <c r="B98" i="10"/>
  <c r="C98" i="10"/>
  <c r="A99" i="10"/>
  <c r="B99" i="10"/>
  <c r="C99" i="10"/>
  <c r="A100" i="10"/>
  <c r="B100" i="10"/>
  <c r="C100" i="10"/>
  <c r="A101" i="10"/>
  <c r="B101" i="10"/>
  <c r="C101" i="10"/>
  <c r="A102" i="10"/>
  <c r="B102" i="10"/>
  <c r="C102" i="10"/>
  <c r="A103" i="10"/>
  <c r="B103" i="10"/>
  <c r="C103" i="10"/>
  <c r="A104" i="10"/>
  <c r="B104" i="10"/>
  <c r="C104" i="10"/>
  <c r="A105" i="10"/>
  <c r="B105" i="10"/>
  <c r="C105" i="10"/>
  <c r="A106" i="10"/>
  <c r="B106" i="10"/>
  <c r="C106" i="10"/>
  <c r="A107" i="10"/>
  <c r="B107" i="10"/>
  <c r="C107" i="10"/>
  <c r="A108" i="10"/>
  <c r="B108" i="10"/>
  <c r="C108" i="10"/>
  <c r="A109" i="10"/>
  <c r="B109" i="10"/>
  <c r="C109" i="10"/>
  <c r="A110" i="10"/>
  <c r="B110" i="10"/>
  <c r="C110" i="10"/>
  <c r="A111" i="10"/>
  <c r="B111" i="10"/>
  <c r="C111" i="10"/>
  <c r="A112" i="10"/>
  <c r="B112" i="10"/>
  <c r="C112" i="10"/>
  <c r="A113" i="10"/>
  <c r="B113" i="10"/>
  <c r="C113" i="10"/>
  <c r="A114" i="10"/>
  <c r="B114" i="10"/>
  <c r="C114" i="10"/>
  <c r="A115" i="10"/>
  <c r="B115" i="10"/>
  <c r="C115" i="10"/>
  <c r="A116" i="10"/>
  <c r="B116" i="10"/>
  <c r="C116" i="10"/>
  <c r="A117" i="10"/>
  <c r="B117" i="10"/>
  <c r="C117" i="10"/>
  <c r="A118" i="10"/>
  <c r="B118" i="10"/>
  <c r="C118" i="10"/>
  <c r="A119" i="10"/>
  <c r="B119" i="10"/>
  <c r="C119" i="10"/>
  <c r="A120" i="10"/>
  <c r="B120" i="10"/>
  <c r="C120" i="10"/>
  <c r="A121" i="10"/>
  <c r="B121" i="10"/>
  <c r="C121" i="10"/>
  <c r="A122" i="10"/>
  <c r="B122" i="10"/>
  <c r="C122" i="10"/>
  <c r="A123" i="10"/>
  <c r="B123" i="10"/>
  <c r="C123" i="10"/>
  <c r="A124" i="10"/>
  <c r="B124" i="10"/>
  <c r="C124" i="10"/>
  <c r="A125" i="10"/>
  <c r="B125" i="10"/>
  <c r="C125" i="10"/>
  <c r="A126" i="10"/>
  <c r="B126" i="10"/>
  <c r="C126" i="10"/>
  <c r="A127" i="10"/>
  <c r="B127" i="10"/>
  <c r="C127" i="10"/>
  <c r="A128" i="10"/>
  <c r="B128" i="10"/>
  <c r="C128" i="10"/>
  <c r="A129" i="10"/>
  <c r="B129" i="10"/>
  <c r="C129" i="10"/>
  <c r="A130" i="10"/>
  <c r="B130" i="10"/>
  <c r="C130" i="10"/>
  <c r="A131" i="10"/>
  <c r="B131" i="10"/>
  <c r="C131" i="10"/>
  <c r="A132" i="10"/>
  <c r="B132" i="10"/>
  <c r="C132" i="10"/>
  <c r="A133" i="10"/>
  <c r="B133" i="10"/>
  <c r="C133" i="10"/>
  <c r="A134" i="10"/>
  <c r="B134" i="10"/>
  <c r="C134" i="10"/>
  <c r="A135" i="10"/>
  <c r="B135" i="10"/>
  <c r="C135" i="10"/>
  <c r="A136" i="10"/>
  <c r="B136" i="10"/>
  <c r="C136" i="10"/>
  <c r="A137" i="10"/>
  <c r="B137" i="10"/>
  <c r="C137" i="10"/>
  <c r="A138" i="10"/>
  <c r="B138" i="10"/>
  <c r="C138" i="10"/>
  <c r="A139" i="10"/>
  <c r="B139" i="10"/>
  <c r="C139" i="10"/>
  <c r="A140" i="10"/>
  <c r="B140" i="10"/>
  <c r="C140" i="10"/>
  <c r="A141" i="10"/>
  <c r="B141" i="10"/>
  <c r="C141" i="10"/>
  <c r="A142" i="10"/>
  <c r="B142" i="10"/>
  <c r="C142" i="10"/>
  <c r="A143" i="10"/>
  <c r="B143" i="10"/>
  <c r="C143" i="10"/>
  <c r="A144" i="10"/>
  <c r="B144" i="10"/>
  <c r="C144" i="10"/>
  <c r="A145" i="10"/>
  <c r="B145" i="10"/>
  <c r="C145" i="10"/>
  <c r="A146" i="10"/>
  <c r="B146" i="10"/>
  <c r="C146" i="10"/>
  <c r="A147" i="10"/>
  <c r="B147" i="10"/>
  <c r="C147" i="10"/>
  <c r="A148" i="10"/>
  <c r="B148" i="10"/>
  <c r="C148" i="10"/>
  <c r="A149" i="10"/>
  <c r="B149" i="10"/>
  <c r="C149" i="10"/>
  <c r="A150" i="10"/>
  <c r="B150" i="10"/>
  <c r="C150" i="10"/>
  <c r="A151" i="10"/>
  <c r="B151" i="10"/>
  <c r="C151" i="10"/>
  <c r="A152" i="10"/>
  <c r="B152" i="10"/>
  <c r="C152" i="10"/>
  <c r="A153" i="10"/>
  <c r="B153" i="10"/>
  <c r="C153" i="10"/>
  <c r="A154" i="10"/>
  <c r="B154" i="10"/>
  <c r="C154" i="10"/>
  <c r="A155" i="10"/>
  <c r="B155" i="10"/>
  <c r="C155" i="10"/>
  <c r="A156" i="10"/>
  <c r="B156" i="10"/>
  <c r="C156" i="10"/>
  <c r="A157" i="10"/>
  <c r="B157" i="10"/>
  <c r="C157" i="10"/>
  <c r="A158" i="10"/>
  <c r="B158" i="10"/>
  <c r="C158" i="10"/>
  <c r="A159" i="10"/>
  <c r="B159" i="10"/>
  <c r="C159" i="10"/>
  <c r="A160" i="10"/>
  <c r="B160" i="10"/>
  <c r="C160" i="10"/>
  <c r="A161" i="10"/>
  <c r="B161" i="10"/>
  <c r="C161" i="10"/>
  <c r="A162" i="10"/>
  <c r="B162" i="10"/>
  <c r="C162" i="10"/>
  <c r="A163" i="10"/>
  <c r="B163" i="10"/>
  <c r="C163" i="10"/>
  <c r="A164" i="10"/>
  <c r="B164" i="10"/>
  <c r="C164" i="10"/>
  <c r="A165" i="10"/>
  <c r="B165" i="10"/>
  <c r="C165" i="10"/>
  <c r="A166" i="10"/>
  <c r="B166" i="10"/>
  <c r="C166" i="10"/>
  <c r="A167" i="10"/>
  <c r="B167" i="10"/>
  <c r="C167" i="10"/>
  <c r="A168" i="10"/>
  <c r="B168" i="10"/>
  <c r="C168" i="10"/>
  <c r="A169" i="10"/>
  <c r="B169" i="10"/>
  <c r="C169" i="10"/>
  <c r="A170" i="10"/>
  <c r="B170" i="10"/>
  <c r="C170" i="10"/>
  <c r="A171" i="10"/>
  <c r="B171" i="10"/>
  <c r="C171" i="10"/>
  <c r="A172" i="10"/>
  <c r="B172" i="10"/>
  <c r="C172" i="10"/>
  <c r="A173" i="10"/>
  <c r="B173" i="10"/>
  <c r="C173" i="10"/>
  <c r="A174" i="10"/>
  <c r="B174" i="10"/>
  <c r="C174" i="10"/>
  <c r="A175" i="10"/>
  <c r="B175" i="10"/>
  <c r="C175" i="10"/>
  <c r="A176" i="10"/>
  <c r="B176" i="10"/>
  <c r="C176" i="10"/>
  <c r="A177" i="10"/>
  <c r="B177" i="10"/>
  <c r="C177" i="10"/>
  <c r="A178" i="10"/>
  <c r="B178" i="10"/>
  <c r="C178" i="10"/>
  <c r="A179" i="10"/>
  <c r="B179" i="10"/>
  <c r="C179" i="10"/>
  <c r="A180" i="10"/>
  <c r="B180" i="10"/>
  <c r="C180" i="10"/>
  <c r="A181" i="10"/>
  <c r="B181" i="10"/>
  <c r="C181" i="10"/>
  <c r="A182" i="10"/>
  <c r="B182" i="10"/>
  <c r="C182" i="10"/>
  <c r="A183" i="10"/>
  <c r="B183" i="10"/>
  <c r="C183" i="10"/>
  <c r="A184" i="10"/>
  <c r="B184" i="10"/>
  <c r="C184" i="10"/>
  <c r="A185" i="10"/>
  <c r="B185" i="10"/>
  <c r="C185" i="10"/>
  <c r="A186" i="10"/>
  <c r="B186" i="10"/>
  <c r="C186" i="10"/>
  <c r="A187" i="10"/>
  <c r="B187" i="10"/>
  <c r="C187" i="10"/>
  <c r="A188" i="10"/>
  <c r="B188" i="10"/>
  <c r="C188" i="10"/>
  <c r="A189" i="10"/>
  <c r="B189" i="10"/>
  <c r="C189" i="10"/>
  <c r="A190" i="10"/>
  <c r="B190" i="10"/>
  <c r="C190" i="10"/>
  <c r="A191" i="10"/>
  <c r="B191" i="10"/>
  <c r="C191" i="10"/>
  <c r="A192" i="10"/>
  <c r="B192" i="10"/>
  <c r="C192" i="10"/>
  <c r="A193" i="10"/>
  <c r="B193" i="10"/>
  <c r="C193" i="10"/>
  <c r="A194" i="10"/>
  <c r="B194" i="10"/>
  <c r="C194" i="10"/>
  <c r="A195" i="10"/>
  <c r="B195" i="10"/>
  <c r="C195" i="10"/>
  <c r="A196" i="10"/>
  <c r="B196" i="10"/>
  <c r="C196" i="10"/>
  <c r="A197" i="10"/>
  <c r="B197" i="10"/>
  <c r="C197" i="10"/>
  <c r="A198" i="10"/>
  <c r="B198" i="10"/>
  <c r="C198" i="10"/>
  <c r="A199" i="10"/>
  <c r="B199" i="10"/>
  <c r="C199" i="10"/>
  <c r="A200" i="10"/>
  <c r="B200" i="10"/>
  <c r="C200" i="10"/>
  <c r="A201" i="10"/>
  <c r="B201" i="10"/>
  <c r="C201" i="10"/>
  <c r="A202" i="10"/>
  <c r="B202" i="10"/>
  <c r="C202" i="10"/>
  <c r="A203" i="10"/>
  <c r="B203" i="10"/>
  <c r="C203" i="10"/>
  <c r="A204" i="10"/>
  <c r="B204" i="10"/>
  <c r="C204" i="10"/>
  <c r="A205" i="10"/>
  <c r="B205" i="10"/>
  <c r="C205" i="10"/>
  <c r="A206" i="10"/>
  <c r="B206" i="10"/>
  <c r="C206" i="10"/>
  <c r="A207" i="10"/>
  <c r="B207" i="10"/>
  <c r="C207" i="10"/>
  <c r="A208" i="10"/>
  <c r="B208" i="10"/>
  <c r="C208" i="10"/>
  <c r="A209" i="10"/>
  <c r="B209" i="10"/>
  <c r="C209" i="10"/>
  <c r="A210" i="10"/>
  <c r="B210" i="10"/>
  <c r="C210" i="10"/>
  <c r="A211" i="10"/>
  <c r="B211" i="10"/>
  <c r="C211" i="10"/>
  <c r="A212" i="10"/>
  <c r="B212" i="10"/>
  <c r="C212" i="10"/>
  <c r="A213" i="10"/>
  <c r="B213" i="10"/>
  <c r="C213" i="10"/>
  <c r="A214" i="10"/>
  <c r="B214" i="10"/>
  <c r="C214" i="10"/>
  <c r="A215" i="10"/>
  <c r="B215" i="10"/>
  <c r="C215" i="10"/>
  <c r="A216" i="10"/>
  <c r="B216" i="10"/>
  <c r="C216" i="10"/>
  <c r="A217" i="10"/>
  <c r="B217" i="10"/>
  <c r="C217" i="10"/>
  <c r="A218" i="10"/>
  <c r="B218" i="10"/>
  <c r="C218" i="10"/>
  <c r="A219" i="10"/>
  <c r="B219" i="10"/>
  <c r="C219" i="10"/>
  <c r="A220" i="10"/>
  <c r="B220" i="10"/>
  <c r="C220" i="10"/>
  <c r="A221" i="10"/>
  <c r="B221" i="10"/>
  <c r="C221" i="10"/>
  <c r="A222" i="10"/>
  <c r="B222" i="10"/>
  <c r="C222" i="10"/>
  <c r="A223" i="10"/>
  <c r="B223" i="10"/>
  <c r="C223" i="10"/>
  <c r="A224" i="10"/>
  <c r="B224" i="10"/>
  <c r="C224" i="10"/>
  <c r="A225" i="10"/>
  <c r="B225" i="10"/>
  <c r="C225" i="10"/>
  <c r="A226" i="10"/>
  <c r="B226" i="10"/>
  <c r="C226" i="10"/>
  <c r="A227" i="10"/>
  <c r="B227" i="10"/>
  <c r="C227" i="10"/>
  <c r="A228" i="10"/>
  <c r="B228" i="10"/>
  <c r="C228" i="10"/>
  <c r="A229" i="10"/>
  <c r="B229" i="10"/>
  <c r="C229" i="10"/>
  <c r="A230" i="10"/>
  <c r="B230" i="10"/>
  <c r="C230" i="10"/>
  <c r="A231" i="10"/>
  <c r="B231" i="10"/>
  <c r="C231" i="10"/>
  <c r="A232" i="10"/>
  <c r="B232" i="10"/>
  <c r="C232" i="10"/>
  <c r="A233" i="10"/>
  <c r="B233" i="10"/>
  <c r="C233" i="10"/>
  <c r="A234" i="10"/>
  <c r="B234" i="10"/>
  <c r="C234" i="10"/>
  <c r="A235" i="10"/>
  <c r="B235" i="10"/>
  <c r="C235" i="10"/>
  <c r="A236" i="10"/>
  <c r="B236" i="10"/>
  <c r="C236" i="10"/>
  <c r="A237" i="10"/>
  <c r="B237" i="10"/>
  <c r="C237" i="10"/>
  <c r="A238" i="10"/>
  <c r="B238" i="10"/>
  <c r="C238" i="10"/>
  <c r="A239" i="10"/>
  <c r="B239" i="10"/>
  <c r="C239" i="10"/>
  <c r="A240" i="10"/>
  <c r="B240" i="10"/>
  <c r="C240" i="10"/>
  <c r="A241" i="10"/>
  <c r="B241" i="10"/>
  <c r="C241" i="10"/>
  <c r="A242" i="10"/>
  <c r="B242" i="10"/>
  <c r="C242" i="10"/>
  <c r="A243" i="10"/>
  <c r="B243" i="10"/>
  <c r="C243" i="10"/>
  <c r="A244" i="10"/>
  <c r="B244" i="10"/>
  <c r="C244" i="10"/>
  <c r="A245" i="10"/>
  <c r="B245" i="10"/>
  <c r="C245" i="10"/>
  <c r="A246" i="10"/>
  <c r="B246" i="10"/>
  <c r="C246" i="10"/>
  <c r="A247" i="10"/>
  <c r="B247" i="10"/>
  <c r="C247" i="10"/>
  <c r="A248" i="10"/>
  <c r="B248" i="10"/>
  <c r="C248" i="10"/>
  <c r="A249" i="10"/>
  <c r="B249" i="10"/>
  <c r="C249" i="10"/>
  <c r="A250" i="10"/>
  <c r="B250" i="10"/>
  <c r="C250" i="10"/>
  <c r="A251" i="10"/>
  <c r="B251" i="10"/>
  <c r="C251" i="10"/>
  <c r="A252" i="10"/>
  <c r="B252" i="10"/>
  <c r="C252" i="10"/>
  <c r="A253" i="10"/>
  <c r="B253" i="10"/>
  <c r="C253" i="10"/>
  <c r="A254" i="10"/>
  <c r="B254" i="10"/>
  <c r="C254" i="10"/>
  <c r="A255" i="10"/>
  <c r="B255" i="10"/>
  <c r="C255" i="10"/>
  <c r="A256" i="10"/>
  <c r="B256" i="10"/>
  <c r="C256" i="10"/>
  <c r="A257" i="10"/>
  <c r="B257" i="10"/>
  <c r="C257" i="10"/>
  <c r="A258" i="10"/>
  <c r="B258" i="10"/>
  <c r="C258" i="10"/>
  <c r="A259" i="10"/>
  <c r="B259" i="10"/>
  <c r="C259" i="10"/>
  <c r="A260" i="10"/>
  <c r="B260" i="10"/>
  <c r="C260" i="10"/>
  <c r="A261" i="10"/>
  <c r="B261" i="10"/>
  <c r="C261" i="10"/>
  <c r="A262" i="10"/>
  <c r="B262" i="10"/>
  <c r="C262" i="10"/>
  <c r="A263" i="10"/>
  <c r="B263" i="10"/>
  <c r="C263" i="10"/>
  <c r="A264" i="10"/>
  <c r="B264" i="10"/>
  <c r="C264" i="10"/>
  <c r="C4" i="10"/>
  <c r="B4" i="10"/>
  <c r="A4" i="10"/>
  <c r="A6" i="9"/>
  <c r="A7" i="9"/>
  <c r="A8" i="9"/>
  <c r="A9" i="9" s="1"/>
  <c r="A10" i="9" s="1"/>
  <c r="A11" i="9" s="1"/>
  <c r="A12" i="9" s="1"/>
  <c r="A13" i="9" s="1"/>
  <c r="A14" i="9" s="1"/>
  <c r="A15" i="9" s="1"/>
  <c r="A16" i="9" s="1"/>
  <c r="A17" i="9" s="1"/>
  <c r="A18" i="9" s="1"/>
  <c r="A19" i="9" s="1"/>
  <c r="A20" i="9" s="1"/>
  <c r="A21" i="9" s="1"/>
  <c r="A22" i="9" s="1"/>
  <c r="A23" i="9" s="1"/>
  <c r="A24" i="9" s="1"/>
  <c r="A25" i="9" s="1"/>
  <c r="A26" i="9" s="1"/>
  <c r="A27" i="9" s="1"/>
  <c r="A28" i="9" s="1"/>
  <c r="A29" i="9" s="1"/>
  <c r="A30" i="9" s="1"/>
  <c r="A31" i="9" s="1"/>
  <c r="A32" i="9" s="1"/>
  <c r="A33" i="9" s="1"/>
  <c r="A34" i="9" s="1"/>
  <c r="A35" i="9" s="1"/>
  <c r="A36" i="9" s="1"/>
  <c r="A37" i="9" s="1"/>
  <c r="A38" i="9" s="1"/>
  <c r="A39" i="9" s="1"/>
  <c r="A40" i="9" s="1"/>
  <c r="A41" i="9" s="1"/>
  <c r="A42" i="9" s="1"/>
  <c r="A43" i="9" s="1"/>
  <c r="A44" i="9" s="1"/>
  <c r="A45" i="9" s="1"/>
  <c r="A46" i="9" s="1"/>
  <c r="A47" i="9" s="1"/>
  <c r="A48" i="9" s="1"/>
  <c r="A49" i="9" s="1"/>
  <c r="A50" i="9" s="1"/>
  <c r="A51" i="9" s="1"/>
  <c r="A52" i="9" s="1"/>
  <c r="A53" i="9" s="1"/>
  <c r="A54" i="9" s="1"/>
  <c r="A55" i="9" s="1"/>
  <c r="A56" i="9" s="1"/>
  <c r="A57" i="9" s="1"/>
  <c r="A58" i="9" s="1"/>
  <c r="A59" i="9" s="1"/>
  <c r="A60" i="9" s="1"/>
  <c r="A61" i="9" s="1"/>
  <c r="A62" i="9" s="1"/>
  <c r="A63" i="9" s="1"/>
  <c r="A64" i="9" s="1"/>
  <c r="A65" i="9" s="1"/>
  <c r="A66" i="9" s="1"/>
  <c r="A67" i="9" s="1"/>
  <c r="A68" i="9" s="1"/>
  <c r="A69" i="9" s="1"/>
  <c r="A70" i="9" s="1"/>
  <c r="A71" i="9" s="1"/>
  <c r="A72" i="9" s="1"/>
  <c r="A73" i="9" s="1"/>
  <c r="A74" i="9" s="1"/>
  <c r="A75" i="9" s="1"/>
  <c r="A76" i="9" s="1"/>
  <c r="A77" i="9" s="1"/>
  <c r="A78" i="9" s="1"/>
  <c r="A79" i="9" s="1"/>
  <c r="A80" i="9" s="1"/>
  <c r="A81" i="9" s="1"/>
  <c r="A82" i="9" s="1"/>
  <c r="A83" i="9" s="1"/>
  <c r="A84" i="9" s="1"/>
  <c r="A85" i="9" s="1"/>
  <c r="A86" i="9" s="1"/>
  <c r="A87" i="9" s="1"/>
  <c r="A88" i="9" s="1"/>
  <c r="A89" i="9" s="1"/>
  <c r="A90" i="9" s="1"/>
  <c r="A91" i="9" s="1"/>
  <c r="A92" i="9" s="1"/>
  <c r="A93" i="9" s="1"/>
  <c r="A94" i="9" s="1"/>
  <c r="A95" i="9" s="1"/>
  <c r="A96" i="9" s="1"/>
  <c r="A97" i="9" s="1"/>
  <c r="A98" i="9" s="1"/>
  <c r="A99" i="9" s="1"/>
  <c r="A100" i="9" s="1"/>
  <c r="A101" i="9" s="1"/>
  <c r="A102" i="9" s="1"/>
  <c r="A103" i="9" s="1"/>
  <c r="A104" i="9" s="1"/>
  <c r="A105" i="9" s="1"/>
  <c r="A106" i="9" s="1"/>
  <c r="A107" i="9" s="1"/>
  <c r="A108" i="9" s="1"/>
  <c r="A109" i="9" s="1"/>
  <c r="A110" i="9" s="1"/>
  <c r="A111" i="9" s="1"/>
  <c r="A112" i="9" s="1"/>
  <c r="A113" i="9" s="1"/>
  <c r="A114" i="9" s="1"/>
  <c r="A115" i="9" s="1"/>
  <c r="A116" i="9" s="1"/>
  <c r="A117" i="9" s="1"/>
  <c r="A118" i="9" s="1"/>
  <c r="A119" i="9" s="1"/>
  <c r="A120" i="9" s="1"/>
  <c r="A121" i="9" s="1"/>
  <c r="A122" i="9" s="1"/>
  <c r="A123" i="9" s="1"/>
  <c r="A124" i="9" s="1"/>
  <c r="A125" i="9" s="1"/>
  <c r="A126" i="9" s="1"/>
  <c r="A127" i="9" s="1"/>
  <c r="A128" i="9" s="1"/>
  <c r="A129" i="9" s="1"/>
  <c r="A130" i="9" s="1"/>
  <c r="A131" i="9" s="1"/>
  <c r="A132" i="9" s="1"/>
  <c r="A133" i="9" s="1"/>
  <c r="A134" i="9" s="1"/>
  <c r="A135" i="9" s="1"/>
  <c r="A136" i="9" s="1"/>
  <c r="A137" i="9" s="1"/>
  <c r="A138" i="9" s="1"/>
  <c r="A139" i="9" s="1"/>
  <c r="A140" i="9" s="1"/>
  <c r="A141" i="9" s="1"/>
  <c r="A142" i="9" s="1"/>
  <c r="A143" i="9" s="1"/>
  <c r="A144" i="9" s="1"/>
  <c r="A145" i="9" s="1"/>
  <c r="A146" i="9" s="1"/>
  <c r="A147" i="9" s="1"/>
  <c r="A148" i="9" s="1"/>
  <c r="A149" i="9" s="1"/>
  <c r="A150" i="9" s="1"/>
  <c r="A151" i="9" s="1"/>
  <c r="A152" i="9" s="1"/>
  <c r="A153" i="9" s="1"/>
  <c r="A154" i="9" s="1"/>
  <c r="A155" i="9" s="1"/>
  <c r="A156" i="9" s="1"/>
  <c r="A157" i="9" s="1"/>
  <c r="A158" i="9" s="1"/>
  <c r="A159" i="9" s="1"/>
  <c r="A160" i="9" s="1"/>
  <c r="A161" i="9" s="1"/>
  <c r="A162" i="9" s="1"/>
  <c r="A163" i="9" s="1"/>
  <c r="A164" i="9" s="1"/>
  <c r="A165" i="9" s="1"/>
  <c r="A166" i="9" s="1"/>
  <c r="A167" i="9" s="1"/>
  <c r="A168" i="9" s="1"/>
  <c r="A169" i="9" s="1"/>
  <c r="A170" i="9" s="1"/>
  <c r="A171" i="9" s="1"/>
  <c r="A172" i="9" s="1"/>
  <c r="A173" i="9" s="1"/>
  <c r="A174" i="9" s="1"/>
  <c r="A175" i="9" s="1"/>
  <c r="A176" i="9" s="1"/>
  <c r="A177" i="9" s="1"/>
  <c r="A178" i="9" s="1"/>
  <c r="A179" i="9" s="1"/>
  <c r="A180" i="9" s="1"/>
  <c r="A181" i="9" s="1"/>
  <c r="A182" i="9" s="1"/>
  <c r="A183" i="9" s="1"/>
  <c r="A184" i="9" s="1"/>
  <c r="A185" i="9" s="1"/>
  <c r="A186" i="9" s="1"/>
  <c r="A187" i="9" s="1"/>
  <c r="A188" i="9" s="1"/>
  <c r="A189" i="9" s="1"/>
  <c r="A190" i="9" s="1"/>
  <c r="A191" i="9" s="1"/>
  <c r="A192" i="9" s="1"/>
  <c r="A193" i="9" s="1"/>
  <c r="A194" i="9" s="1"/>
  <c r="A195" i="9" s="1"/>
  <c r="A196" i="9" s="1"/>
  <c r="A197" i="9" s="1"/>
  <c r="A198" i="9" s="1"/>
  <c r="A199" i="9" s="1"/>
  <c r="A200" i="9" s="1"/>
  <c r="A201" i="9" s="1"/>
  <c r="A202" i="9" s="1"/>
  <c r="A203" i="9" s="1"/>
  <c r="A204" i="9" s="1"/>
  <c r="A205" i="9" s="1"/>
  <c r="A206" i="9" s="1"/>
  <c r="A207" i="9" s="1"/>
  <c r="A208" i="9" s="1"/>
  <c r="A209" i="9" s="1"/>
  <c r="A210" i="9" s="1"/>
  <c r="A211" i="9" s="1"/>
  <c r="A212" i="9" s="1"/>
  <c r="A213" i="9" s="1"/>
  <c r="A214" i="9" s="1"/>
  <c r="A215" i="9" s="1"/>
  <c r="A216" i="9" s="1"/>
  <c r="A217" i="9" s="1"/>
  <c r="A218" i="9" s="1"/>
  <c r="A219" i="9" s="1"/>
  <c r="A220" i="9" s="1"/>
  <c r="A221" i="9" s="1"/>
  <c r="A222" i="9" s="1"/>
  <c r="A223" i="9" s="1"/>
  <c r="A224" i="9" s="1"/>
  <c r="A225" i="9" s="1"/>
  <c r="A226" i="9" s="1"/>
  <c r="A227" i="9" s="1"/>
  <c r="A228" i="9" s="1"/>
  <c r="A229" i="9" s="1"/>
  <c r="A230" i="9" s="1"/>
  <c r="A231" i="9" s="1"/>
  <c r="A232" i="9" s="1"/>
  <c r="A233" i="9" s="1"/>
  <c r="A234" i="9" s="1"/>
  <c r="A235" i="9" s="1"/>
  <c r="A236" i="9" s="1"/>
  <c r="A237" i="9" s="1"/>
  <c r="A238" i="9" s="1"/>
  <c r="A239" i="9" s="1"/>
  <c r="A240" i="9" s="1"/>
  <c r="A241" i="9" s="1"/>
  <c r="A242" i="9" s="1"/>
  <c r="A243" i="9" s="1"/>
  <c r="A244" i="9" s="1"/>
  <c r="A245" i="9" s="1"/>
  <c r="A246" i="9" s="1"/>
  <c r="A247" i="9" s="1"/>
  <c r="A248" i="9" s="1"/>
  <c r="A249" i="9" s="1"/>
  <c r="A250" i="9" s="1"/>
  <c r="A251" i="9" s="1"/>
  <c r="A252" i="9" s="1"/>
  <c r="A253" i="9" s="1"/>
  <c r="A254" i="9" s="1"/>
  <c r="A255" i="9" s="1"/>
  <c r="A256" i="9" s="1"/>
  <c r="A257" i="9" s="1"/>
  <c r="A258" i="9" s="1"/>
  <c r="A259" i="9" s="1"/>
  <c r="A260" i="9" s="1"/>
  <c r="A261" i="9" s="1"/>
  <c r="A262" i="9" s="1"/>
  <c r="A263" i="9" s="1"/>
  <c r="A264" i="9" s="1"/>
  <c r="A5" i="9"/>
  <c r="L9" i="8"/>
  <c r="L10" i="8"/>
  <c r="L11" i="8"/>
  <c r="L12" i="8"/>
  <c r="L13" i="8"/>
  <c r="L14" i="8"/>
  <c r="L15" i="8"/>
  <c r="L16" i="8"/>
  <c r="L17" i="8"/>
  <c r="L18" i="8"/>
  <c r="L19" i="8"/>
  <c r="L20" i="8"/>
  <c r="L8" i="8"/>
  <c r="M9" i="8"/>
  <c r="M10" i="8"/>
  <c r="M11" i="8"/>
  <c r="M12" i="8"/>
  <c r="M13" i="8"/>
  <c r="M14" i="8"/>
  <c r="M15" i="8"/>
  <c r="M16" i="8"/>
  <c r="M17" i="8"/>
  <c r="M18" i="8"/>
  <c r="M19" i="8"/>
  <c r="M25" i="8" s="1"/>
  <c r="M20" i="8"/>
  <c r="M8" i="8"/>
  <c r="L25" i="8"/>
  <c r="D17" i="8"/>
  <c r="D18" i="8"/>
  <c r="D19" i="8"/>
  <c r="D25" i="8" s="1"/>
  <c r="D20" i="8"/>
  <c r="Q15" i="7"/>
  <c r="K9" i="7"/>
  <c r="I9" i="8" s="1"/>
  <c r="L9" i="7"/>
  <c r="M9" i="7"/>
  <c r="O9" i="7"/>
  <c r="P9" i="7"/>
  <c r="Q9" i="7"/>
  <c r="K10" i="7"/>
  <c r="I10" i="8" s="1"/>
  <c r="L10" i="7"/>
  <c r="M10" i="7"/>
  <c r="O10" i="7"/>
  <c r="P10" i="7"/>
  <c r="Q10" i="7"/>
  <c r="K11" i="7"/>
  <c r="I11" i="8" s="1"/>
  <c r="L11" i="7"/>
  <c r="M11" i="7"/>
  <c r="O11" i="7"/>
  <c r="P11" i="7"/>
  <c r="Q11" i="7"/>
  <c r="K12" i="7"/>
  <c r="I12" i="8" s="1"/>
  <c r="L12" i="7"/>
  <c r="M12" i="7"/>
  <c r="O12" i="7"/>
  <c r="P12" i="7"/>
  <c r="Q12" i="7"/>
  <c r="K13" i="7"/>
  <c r="I13" i="8" s="1"/>
  <c r="L13" i="7"/>
  <c r="M13" i="7"/>
  <c r="O13" i="7"/>
  <c r="P13" i="7"/>
  <c r="Q13" i="7"/>
  <c r="K14" i="7"/>
  <c r="I14" i="8" s="1"/>
  <c r="L14" i="7"/>
  <c r="M14" i="7"/>
  <c r="O14" i="7"/>
  <c r="P14" i="7"/>
  <c r="Q14" i="7"/>
  <c r="K15" i="7"/>
  <c r="I15" i="8" s="1"/>
  <c r="L15" i="7"/>
  <c r="M15" i="7"/>
  <c r="O15" i="7"/>
  <c r="P15" i="7"/>
  <c r="K16" i="7"/>
  <c r="I16" i="8" s="1"/>
  <c r="L16" i="7"/>
  <c r="M16" i="7"/>
  <c r="O16" i="7"/>
  <c r="P16" i="7"/>
  <c r="Q16" i="7"/>
  <c r="K17" i="7"/>
  <c r="I17" i="8" s="1"/>
  <c r="L17" i="7"/>
  <c r="M17" i="7"/>
  <c r="O17" i="7"/>
  <c r="P17" i="7"/>
  <c r="Q17" i="7"/>
  <c r="K18" i="7"/>
  <c r="I18" i="8" s="1"/>
  <c r="L18" i="7"/>
  <c r="M18" i="7"/>
  <c r="O18" i="7"/>
  <c r="P18" i="7"/>
  <c r="Q18" i="7"/>
  <c r="K19" i="7"/>
  <c r="I19" i="8" s="1"/>
  <c r="L19" i="7"/>
  <c r="L25" i="7" s="1"/>
  <c r="M19" i="7"/>
  <c r="M25" i="7" s="1"/>
  <c r="O19" i="7"/>
  <c r="P19" i="7"/>
  <c r="Q19" i="7"/>
  <c r="Q25" i="7" s="1"/>
  <c r="K20" i="7"/>
  <c r="I20" i="8" s="1"/>
  <c r="L20" i="7"/>
  <c r="M20" i="7"/>
  <c r="O20" i="7"/>
  <c r="P20" i="7"/>
  <c r="Q20" i="7"/>
  <c r="Q8" i="7"/>
  <c r="P8" i="7"/>
  <c r="O8" i="7"/>
  <c r="M8" i="7"/>
  <c r="L8" i="7"/>
  <c r="K8" i="7"/>
  <c r="I8" i="8" s="1"/>
  <c r="H71" i="1"/>
  <c r="I71" i="1"/>
  <c r="J71" i="1"/>
  <c r="K71" i="1"/>
  <c r="L71" i="1"/>
  <c r="L29" i="1"/>
  <c r="K29" i="1"/>
  <c r="J29" i="1"/>
  <c r="I29" i="1"/>
  <c r="H29" i="1"/>
  <c r="L13" i="1"/>
  <c r="I9" i="7"/>
  <c r="I10" i="7"/>
  <c r="I11" i="7"/>
  <c r="I12" i="7"/>
  <c r="I13" i="7"/>
  <c r="I14" i="7"/>
  <c r="I15" i="7"/>
  <c r="I16" i="7"/>
  <c r="I17" i="7"/>
  <c r="I18" i="7"/>
  <c r="I19" i="7"/>
  <c r="I25" i="7" s="1"/>
  <c r="K28" i="7" s="1"/>
  <c r="I20" i="7"/>
  <c r="I8" i="7"/>
  <c r="H9" i="7"/>
  <c r="H10" i="7"/>
  <c r="H11" i="7"/>
  <c r="H12" i="7"/>
  <c r="H13" i="7"/>
  <c r="H14" i="7"/>
  <c r="H15" i="7"/>
  <c r="H16" i="7"/>
  <c r="H17" i="7"/>
  <c r="H18" i="7"/>
  <c r="H20" i="7"/>
  <c r="H8" i="7"/>
  <c r="D9" i="7"/>
  <c r="D10" i="7"/>
  <c r="D11" i="7"/>
  <c r="D12" i="7"/>
  <c r="D13" i="7"/>
  <c r="D14" i="7"/>
  <c r="D15" i="7"/>
  <c r="D16" i="7"/>
  <c r="D17" i="7"/>
  <c r="D18" i="7"/>
  <c r="D19" i="7"/>
  <c r="D25" i="7" s="1"/>
  <c r="D20" i="7"/>
  <c r="D8" i="7"/>
  <c r="H84" i="4"/>
  <c r="L95" i="4"/>
  <c r="J30" i="4"/>
  <c r="I106" i="4"/>
  <c r="J106" i="4"/>
  <c r="K106" i="4"/>
  <c r="L106" i="4"/>
  <c r="H106" i="4"/>
  <c r="I99" i="4"/>
  <c r="J99" i="4"/>
  <c r="K99" i="4"/>
  <c r="L99" i="4"/>
  <c r="I100" i="4"/>
  <c r="J100" i="4"/>
  <c r="K100" i="4"/>
  <c r="I101" i="4"/>
  <c r="J101" i="4"/>
  <c r="K101" i="4"/>
  <c r="L101" i="4"/>
  <c r="I102" i="4"/>
  <c r="J102" i="4"/>
  <c r="K102" i="4"/>
  <c r="L102" i="4"/>
  <c r="I103" i="4"/>
  <c r="J103" i="4"/>
  <c r="K103" i="4"/>
  <c r="L103" i="4"/>
  <c r="H100" i="4"/>
  <c r="H102" i="4"/>
  <c r="H103" i="4"/>
  <c r="H99" i="4"/>
  <c r="I95" i="4"/>
  <c r="J95" i="4"/>
  <c r="K95" i="4"/>
  <c r="H95" i="4"/>
  <c r="I91" i="4"/>
  <c r="J91" i="4"/>
  <c r="K91" i="4"/>
  <c r="L91" i="4"/>
  <c r="I92" i="4"/>
  <c r="J92" i="4"/>
  <c r="K92" i="4"/>
  <c r="L92" i="4"/>
  <c r="I93" i="4"/>
  <c r="J93" i="4"/>
  <c r="K93" i="4"/>
  <c r="L93" i="4"/>
  <c r="H93" i="4"/>
  <c r="H92" i="4"/>
  <c r="H91" i="4"/>
  <c r="I81" i="4"/>
  <c r="J81" i="4"/>
  <c r="K81" i="4"/>
  <c r="L81" i="4"/>
  <c r="H81" i="4"/>
  <c r="H113" i="1"/>
  <c r="I86" i="4"/>
  <c r="J86" i="4"/>
  <c r="K86" i="4"/>
  <c r="L86" i="4"/>
  <c r="H86" i="4"/>
  <c r="I80" i="4"/>
  <c r="J80" i="4"/>
  <c r="K80" i="4"/>
  <c r="L80" i="4"/>
  <c r="H80" i="4"/>
  <c r="L84" i="4"/>
  <c r="K84" i="4"/>
  <c r="J84" i="4"/>
  <c r="I84" i="4"/>
  <c r="L83" i="4"/>
  <c r="K83" i="4"/>
  <c r="J83" i="4"/>
  <c r="I83" i="4"/>
  <c r="L82" i="4"/>
  <c r="K82" i="4"/>
  <c r="J82" i="4"/>
  <c r="I82" i="4"/>
  <c r="H83" i="4"/>
  <c r="H82" i="4"/>
  <c r="S8" i="7" l="1"/>
  <c r="T15" i="7"/>
  <c r="S14" i="7"/>
  <c r="J18" i="7"/>
  <c r="U18" i="7" s="1"/>
  <c r="J10" i="7"/>
  <c r="U10" i="7" s="1"/>
  <c r="J13" i="7"/>
  <c r="S16" i="7"/>
  <c r="T13" i="7"/>
  <c r="S12" i="7"/>
  <c r="T16" i="7"/>
  <c r="S17" i="7"/>
  <c r="J20" i="7"/>
  <c r="U20" i="7" s="1"/>
  <c r="J12" i="7"/>
  <c r="U12" i="7" s="1"/>
  <c r="T10" i="7"/>
  <c r="J14" i="7"/>
  <c r="U14" i="7" s="1"/>
  <c r="J19" i="7"/>
  <c r="H19" i="8" s="1"/>
  <c r="H25" i="8" s="1"/>
  <c r="J11" i="7"/>
  <c r="H11" i="8" s="1"/>
  <c r="J11" i="8" s="1"/>
  <c r="N11" i="8" s="1"/>
  <c r="T19" i="7"/>
  <c r="T25" i="7" s="1"/>
  <c r="S11" i="7"/>
  <c r="T20" i="7"/>
  <c r="S19" i="7"/>
  <c r="S25" i="7" s="1"/>
  <c r="J15" i="7"/>
  <c r="H15" i="8" s="1"/>
  <c r="J15" i="8" s="1"/>
  <c r="N15" i="8" s="1"/>
  <c r="S15" i="7"/>
  <c r="T11" i="7"/>
  <c r="S18" i="7"/>
  <c r="J17" i="7"/>
  <c r="H17" i="8" s="1"/>
  <c r="J17" i="8" s="1"/>
  <c r="N17" i="8" s="1"/>
  <c r="J9" i="7"/>
  <c r="H9" i="8" s="1"/>
  <c r="J9" i="8" s="1"/>
  <c r="N9" i="8" s="1"/>
  <c r="J16" i="7"/>
  <c r="H16" i="8" s="1"/>
  <c r="S20" i="7"/>
  <c r="T9" i="7"/>
  <c r="K25" i="7"/>
  <c r="I28" i="7" s="1"/>
  <c r="S13" i="7"/>
  <c r="S9" i="7"/>
  <c r="T14" i="7"/>
  <c r="H25" i="7"/>
  <c r="H18" i="8"/>
  <c r="J18" i="8" s="1"/>
  <c r="N18" i="8" s="1"/>
  <c r="U13" i="7"/>
  <c r="H13" i="8"/>
  <c r="J13" i="8" s="1"/>
  <c r="N13" i="8" s="1"/>
  <c r="I25" i="8"/>
  <c r="T18" i="7"/>
  <c r="S10" i="7"/>
  <c r="T12" i="7"/>
  <c r="P25" i="7"/>
  <c r="O25" i="7"/>
  <c r="T17" i="7"/>
  <c r="J104" i="4"/>
  <c r="I104" i="4"/>
  <c r="K104" i="4"/>
  <c r="L104" i="4"/>
  <c r="U11" i="7" l="1"/>
  <c r="U19" i="7"/>
  <c r="U25" i="7" s="1"/>
  <c r="J25" i="7"/>
  <c r="H12" i="8"/>
  <c r="J12" i="8" s="1"/>
  <c r="N12" i="8" s="1"/>
  <c r="H14" i="8"/>
  <c r="J14" i="8" s="1"/>
  <c r="N14" i="8" s="1"/>
  <c r="U17" i="7"/>
  <c r="H10" i="8"/>
  <c r="K10" i="8" s="1"/>
  <c r="H20" i="8"/>
  <c r="J20" i="8" s="1"/>
  <c r="N20" i="8" s="1"/>
  <c r="U15" i="7"/>
  <c r="K12" i="8"/>
  <c r="K16" i="8"/>
  <c r="J16" i="8"/>
  <c r="N16" i="8" s="1"/>
  <c r="U9" i="7"/>
  <c r="K18" i="8"/>
  <c r="U16" i="7"/>
  <c r="K15" i="8"/>
  <c r="K14" i="8"/>
  <c r="K19" i="8"/>
  <c r="K25" i="8" s="1"/>
  <c r="K17" i="8"/>
  <c r="K9" i="8"/>
  <c r="K13" i="8"/>
  <c r="K11" i="8"/>
  <c r="J19" i="8"/>
  <c r="I72" i="4"/>
  <c r="J72" i="4"/>
  <c r="K72" i="4"/>
  <c r="L72" i="4"/>
  <c r="I74" i="4"/>
  <c r="J74" i="4"/>
  <c r="K74" i="4"/>
  <c r="L74" i="4"/>
  <c r="H74" i="4"/>
  <c r="H72" i="4"/>
  <c r="I71" i="4"/>
  <c r="J71" i="4"/>
  <c r="K71" i="4"/>
  <c r="L71" i="4"/>
  <c r="H71" i="4"/>
  <c r="I62" i="4"/>
  <c r="J62" i="4"/>
  <c r="K62" i="4"/>
  <c r="L62" i="4"/>
  <c r="N62" i="4" s="1"/>
  <c r="O62" i="4" s="1"/>
  <c r="P62" i="4" s="1"/>
  <c r="Q62" i="4" s="1"/>
  <c r="R62" i="4" s="1"/>
  <c r="S62" i="4" s="1"/>
  <c r="T62" i="4" s="1"/>
  <c r="U62" i="4" s="1"/>
  <c r="V62" i="4" s="1"/>
  <c r="H62" i="4"/>
  <c r="I61" i="4"/>
  <c r="J61" i="4"/>
  <c r="K61" i="4"/>
  <c r="L61" i="4"/>
  <c r="I63" i="4"/>
  <c r="J63" i="4"/>
  <c r="K63" i="4"/>
  <c r="L63" i="4"/>
  <c r="I65" i="4"/>
  <c r="J65" i="4"/>
  <c r="K65" i="4"/>
  <c r="L65" i="4"/>
  <c r="E169" i="4" s="1"/>
  <c r="J168" i="4" s="1"/>
  <c r="I66" i="4"/>
  <c r="J66" i="4"/>
  <c r="K66" i="4"/>
  <c r="L66" i="4"/>
  <c r="M66" i="4" s="1"/>
  <c r="N66" i="4" s="1"/>
  <c r="O66" i="4" s="1"/>
  <c r="P66" i="4" s="1"/>
  <c r="Q66" i="4" s="1"/>
  <c r="R66" i="4" s="1"/>
  <c r="S66" i="4" s="1"/>
  <c r="T66" i="4" s="1"/>
  <c r="U66" i="4" s="1"/>
  <c r="V66" i="4" s="1"/>
  <c r="I67" i="4"/>
  <c r="J67" i="4"/>
  <c r="K67" i="4"/>
  <c r="L67" i="4"/>
  <c r="M67" i="4" s="1"/>
  <c r="N67" i="4" s="1"/>
  <c r="O67" i="4" s="1"/>
  <c r="P67" i="4" s="1"/>
  <c r="Q67" i="4" s="1"/>
  <c r="R67" i="4" s="1"/>
  <c r="S67" i="4" s="1"/>
  <c r="T67" i="4" s="1"/>
  <c r="U67" i="4" s="1"/>
  <c r="V67" i="4" s="1"/>
  <c r="I68" i="4"/>
  <c r="J68" i="4"/>
  <c r="K68" i="4"/>
  <c r="L68" i="4"/>
  <c r="H68" i="4"/>
  <c r="H67" i="4"/>
  <c r="H66" i="4"/>
  <c r="H65" i="4"/>
  <c r="H63" i="4"/>
  <c r="H61" i="4"/>
  <c r="I43" i="4"/>
  <c r="J43" i="4"/>
  <c r="K43" i="4"/>
  <c r="L43" i="4"/>
  <c r="M106" i="4" s="1"/>
  <c r="I44" i="4"/>
  <c r="J44" i="4"/>
  <c r="K44" i="4"/>
  <c r="L44" i="4"/>
  <c r="I45" i="4"/>
  <c r="J45" i="4"/>
  <c r="K45" i="4"/>
  <c r="L45" i="4"/>
  <c r="I46" i="4"/>
  <c r="J46" i="4"/>
  <c r="K46" i="4"/>
  <c r="L46" i="4"/>
  <c r="I47" i="4"/>
  <c r="J47" i="4"/>
  <c r="K47" i="4"/>
  <c r="L47" i="4"/>
  <c r="I48" i="4"/>
  <c r="J48" i="4"/>
  <c r="K48" i="4"/>
  <c r="L48" i="4"/>
  <c r="I49" i="4"/>
  <c r="J49" i="4"/>
  <c r="K49" i="4"/>
  <c r="L49" i="4"/>
  <c r="I51" i="4"/>
  <c r="J51" i="4"/>
  <c r="K51" i="4"/>
  <c r="L51" i="4"/>
  <c r="I52" i="4"/>
  <c r="J52" i="4"/>
  <c r="K52" i="4"/>
  <c r="L52" i="4"/>
  <c r="I53" i="4"/>
  <c r="J53" i="4"/>
  <c r="K53" i="4"/>
  <c r="L53" i="4"/>
  <c r="I54" i="4"/>
  <c r="J54" i="4"/>
  <c r="K54" i="4"/>
  <c r="L54" i="4"/>
  <c r="M54" i="4" s="1"/>
  <c r="N54" i="4" s="1"/>
  <c r="O54" i="4" s="1"/>
  <c r="P54" i="4" s="1"/>
  <c r="Q54" i="4" s="1"/>
  <c r="R54" i="4" s="1"/>
  <c r="S54" i="4" s="1"/>
  <c r="T54" i="4" s="1"/>
  <c r="U54" i="4" s="1"/>
  <c r="V54" i="4" s="1"/>
  <c r="I55" i="4"/>
  <c r="J55" i="4"/>
  <c r="K55" i="4"/>
  <c r="L55" i="4"/>
  <c r="I56" i="4"/>
  <c r="J56" i="4"/>
  <c r="K56" i="4"/>
  <c r="L56" i="4"/>
  <c r="H56" i="4"/>
  <c r="H54" i="4"/>
  <c r="H55" i="4"/>
  <c r="H52" i="4"/>
  <c r="H53" i="4"/>
  <c r="H51" i="4"/>
  <c r="H49" i="4"/>
  <c r="H48" i="4"/>
  <c r="H47" i="4"/>
  <c r="H46" i="4"/>
  <c r="H45" i="4"/>
  <c r="H44" i="4"/>
  <c r="H43" i="4"/>
  <c r="I27" i="4"/>
  <c r="J27" i="4"/>
  <c r="K27" i="4"/>
  <c r="L27" i="4"/>
  <c r="I28" i="4"/>
  <c r="J28" i="4"/>
  <c r="K28" i="4"/>
  <c r="I30" i="4"/>
  <c r="K30" i="4"/>
  <c r="L30" i="4"/>
  <c r="I32" i="4"/>
  <c r="J32" i="4"/>
  <c r="K32" i="4"/>
  <c r="L32" i="4"/>
  <c r="I34" i="4"/>
  <c r="J34" i="4"/>
  <c r="K34" i="4"/>
  <c r="L34" i="4"/>
  <c r="I36" i="4"/>
  <c r="J36" i="4"/>
  <c r="K36" i="4"/>
  <c r="L36" i="4"/>
  <c r="H36" i="4"/>
  <c r="H34" i="4"/>
  <c r="H28" i="4"/>
  <c r="H32" i="4"/>
  <c r="H30" i="4"/>
  <c r="H27" i="4"/>
  <c r="I24" i="4"/>
  <c r="J24" i="4"/>
  <c r="K24" i="4"/>
  <c r="L24" i="4"/>
  <c r="H24" i="4"/>
  <c r="H23" i="4"/>
  <c r="I138" i="1"/>
  <c r="J138" i="1"/>
  <c r="K138" i="1"/>
  <c r="L138" i="1"/>
  <c r="H138" i="1"/>
  <c r="I130" i="1"/>
  <c r="J130" i="1"/>
  <c r="K130" i="1"/>
  <c r="L130" i="1"/>
  <c r="H130" i="1"/>
  <c r="I113" i="1"/>
  <c r="I120" i="1" s="1"/>
  <c r="I122" i="1" s="1"/>
  <c r="J113" i="1"/>
  <c r="J120" i="1" s="1"/>
  <c r="J122" i="1" s="1"/>
  <c r="K113" i="1"/>
  <c r="K120" i="1" s="1"/>
  <c r="K122" i="1" s="1"/>
  <c r="L113" i="1"/>
  <c r="L120" i="1" s="1"/>
  <c r="L122" i="1" s="1"/>
  <c r="H120" i="1"/>
  <c r="H122" i="1" s="1"/>
  <c r="I91" i="1"/>
  <c r="J91" i="1"/>
  <c r="K91" i="1"/>
  <c r="L91" i="1"/>
  <c r="H91" i="1"/>
  <c r="I79" i="1"/>
  <c r="J79" i="1"/>
  <c r="K79" i="1"/>
  <c r="L79" i="1"/>
  <c r="H79" i="1"/>
  <c r="I64" i="1"/>
  <c r="J64" i="1"/>
  <c r="K64" i="1"/>
  <c r="L64" i="1"/>
  <c r="H64" i="1"/>
  <c r="I54" i="1"/>
  <c r="J54" i="1"/>
  <c r="K54" i="1"/>
  <c r="L54" i="1"/>
  <c r="H54" i="1"/>
  <c r="L10" i="1"/>
  <c r="L23" i="4" s="1"/>
  <c r="K10" i="1"/>
  <c r="K22" i="1" s="1"/>
  <c r="K24" i="1" s="1"/>
  <c r="J10" i="1"/>
  <c r="J22" i="1" s="1"/>
  <c r="J24" i="1" s="1"/>
  <c r="I10" i="1"/>
  <c r="I22" i="1" s="1"/>
  <c r="I24" i="1" s="1"/>
  <c r="H10" i="1"/>
  <c r="H22" i="1" s="1"/>
  <c r="H24" i="1" s="1"/>
  <c r="I11" i="4" l="1"/>
  <c r="E168" i="4"/>
  <c r="J12" i="4"/>
  <c r="I12" i="4"/>
  <c r="L12" i="4"/>
  <c r="K12" i="4"/>
  <c r="K20" i="8"/>
  <c r="J10" i="8"/>
  <c r="N10" i="8" s="1"/>
  <c r="J25" i="8"/>
  <c r="N19" i="8"/>
  <c r="N25" i="8" s="1"/>
  <c r="I92" i="1"/>
  <c r="L92" i="1"/>
  <c r="I65" i="1"/>
  <c r="I139" i="1"/>
  <c r="I141" i="1" s="1"/>
  <c r="H139" i="1"/>
  <c r="H141" i="1" s="1"/>
  <c r="H65" i="1"/>
  <c r="H8" i="4"/>
  <c r="K73" i="4"/>
  <c r="L73" i="4"/>
  <c r="H92" i="1"/>
  <c r="H93" i="1" s="1"/>
  <c r="K139" i="1"/>
  <c r="K141" i="1" s="1"/>
  <c r="H30" i="1"/>
  <c r="L65" i="1"/>
  <c r="L139" i="1"/>
  <c r="L141" i="1" s="1"/>
  <c r="K65" i="1"/>
  <c r="J139" i="1"/>
  <c r="J141" i="1" s="1"/>
  <c r="J65" i="1"/>
  <c r="L28" i="4"/>
  <c r="J92" i="1"/>
  <c r="J93" i="1" s="1"/>
  <c r="K23" i="4"/>
  <c r="K25" i="4" s="1"/>
  <c r="K29" i="4" s="1"/>
  <c r="H69" i="4"/>
  <c r="I93" i="1"/>
  <c r="J23" i="4"/>
  <c r="J25" i="4" s="1"/>
  <c r="J29" i="4" s="1"/>
  <c r="I23" i="4"/>
  <c r="I73" i="4"/>
  <c r="J73" i="4"/>
  <c r="L25" i="4"/>
  <c r="L93" i="1"/>
  <c r="K92" i="1"/>
  <c r="K93" i="1" s="1"/>
  <c r="L22" i="1"/>
  <c r="L24" i="1" s="1"/>
  <c r="L30" i="1" s="1"/>
  <c r="I30" i="1"/>
  <c r="K30" i="1"/>
  <c r="J30" i="1"/>
  <c r="J31" i="4" l="1"/>
  <c r="J33" i="4" s="1"/>
  <c r="J35" i="4" s="1"/>
  <c r="J37" i="4" s="1"/>
  <c r="J85" i="4" s="1"/>
  <c r="J87" i="4" s="1"/>
  <c r="K31" i="4"/>
  <c r="K33" i="4" s="1"/>
  <c r="K35" i="4" s="1"/>
  <c r="K37" i="4" s="1"/>
  <c r="K85" i="4" s="1"/>
  <c r="K87" i="4" s="1"/>
  <c r="I25" i="4"/>
  <c r="I29" i="4" s="1"/>
  <c r="I7" i="4"/>
  <c r="L29" i="4"/>
  <c r="L31" i="4" l="1"/>
  <c r="L33" i="4" s="1"/>
  <c r="L35" i="4" s="1"/>
  <c r="L37" i="4" s="1"/>
  <c r="L85" i="4" s="1"/>
  <c r="L87" i="4" s="1"/>
  <c r="I31" i="4"/>
  <c r="I33" i="4" l="1"/>
  <c r="I35" i="4" s="1"/>
  <c r="I37" i="4" s="1"/>
  <c r="I85" i="4" s="1"/>
  <c r="I87" i="4" s="1"/>
  <c r="H154" i="4"/>
  <c r="G25" i="12"/>
  <c r="D13" i="5" l="1" a="1"/>
  <c r="D13" i="5" s="1"/>
  <c r="M2" i="12" l="1"/>
  <c r="N2" i="12" s="1"/>
  <c r="O2" i="12" s="1"/>
  <c r="P2" i="12" s="1"/>
  <c r="Q2" i="12" s="1"/>
  <c r="R2" i="12" s="1"/>
  <c r="S2" i="12" s="1"/>
  <c r="T2" i="12" s="1"/>
  <c r="U2" i="12" s="1"/>
  <c r="H2" i="12"/>
  <c r="I2" i="12" s="1"/>
  <c r="J2" i="12" s="1"/>
  <c r="K2" i="12" s="1"/>
  <c r="H32" i="11" l="1"/>
  <c r="H31" i="11"/>
  <c r="D264" i="10"/>
  <c r="D264" i="9"/>
  <c r="E264" i="9"/>
  <c r="E6" i="9"/>
  <c r="E7" i="9"/>
  <c r="E8" i="9"/>
  <c r="E9" i="9"/>
  <c r="E10" i="9"/>
  <c r="E11" i="9"/>
  <c r="E12" i="9"/>
  <c r="E13" i="9"/>
  <c r="E14" i="9"/>
  <c r="E15" i="9"/>
  <c r="E16" i="9"/>
  <c r="E17" i="9"/>
  <c r="E18" i="9"/>
  <c r="E19" i="9"/>
  <c r="E20" i="9"/>
  <c r="E21" i="9"/>
  <c r="E22" i="9"/>
  <c r="E23" i="9"/>
  <c r="E24" i="9"/>
  <c r="E25" i="9"/>
  <c r="E26" i="9"/>
  <c r="E27" i="9"/>
  <c r="E28" i="9"/>
  <c r="E29" i="9"/>
  <c r="E30" i="9"/>
  <c r="E31" i="9"/>
  <c r="E32" i="9"/>
  <c r="E33" i="9"/>
  <c r="E34" i="9"/>
  <c r="E35" i="9"/>
  <c r="E36" i="9"/>
  <c r="E37" i="9"/>
  <c r="E38" i="9"/>
  <c r="E39" i="9"/>
  <c r="E40" i="9"/>
  <c r="E41" i="9"/>
  <c r="E42" i="9"/>
  <c r="E43" i="9"/>
  <c r="E44" i="9"/>
  <c r="E45" i="9"/>
  <c r="E46" i="9"/>
  <c r="E47" i="9"/>
  <c r="E48" i="9"/>
  <c r="E49" i="9"/>
  <c r="E50" i="9"/>
  <c r="E51" i="9"/>
  <c r="E52" i="9"/>
  <c r="E53" i="9"/>
  <c r="E54" i="9"/>
  <c r="E55" i="9"/>
  <c r="E56" i="9"/>
  <c r="E57" i="9"/>
  <c r="E58" i="9"/>
  <c r="E59" i="9"/>
  <c r="E60" i="9"/>
  <c r="E61" i="9"/>
  <c r="E62" i="9"/>
  <c r="E63" i="9"/>
  <c r="E64" i="9"/>
  <c r="E65" i="9"/>
  <c r="E66" i="9"/>
  <c r="E67" i="9"/>
  <c r="E68" i="9"/>
  <c r="E69" i="9"/>
  <c r="E70" i="9"/>
  <c r="E71" i="9"/>
  <c r="E72" i="9"/>
  <c r="E73" i="9"/>
  <c r="E74" i="9"/>
  <c r="E75" i="9"/>
  <c r="E76" i="9"/>
  <c r="E77" i="9"/>
  <c r="E78" i="9"/>
  <c r="E79" i="9"/>
  <c r="E80" i="9"/>
  <c r="E81" i="9"/>
  <c r="E82" i="9"/>
  <c r="E83" i="9"/>
  <c r="E84" i="9"/>
  <c r="E85" i="9"/>
  <c r="E86" i="9"/>
  <c r="E87" i="9"/>
  <c r="E88" i="9"/>
  <c r="E89" i="9"/>
  <c r="E90" i="9"/>
  <c r="E91" i="9"/>
  <c r="E92" i="9"/>
  <c r="E93" i="9"/>
  <c r="E94" i="9"/>
  <c r="E95" i="9"/>
  <c r="E96" i="9"/>
  <c r="E97" i="9"/>
  <c r="E98" i="9"/>
  <c r="E99" i="9"/>
  <c r="E100" i="9"/>
  <c r="E101" i="9"/>
  <c r="E102" i="9"/>
  <c r="E103" i="9"/>
  <c r="E104" i="9"/>
  <c r="E105" i="9"/>
  <c r="E106" i="9"/>
  <c r="E107" i="9"/>
  <c r="E108" i="9"/>
  <c r="E109" i="9"/>
  <c r="E110" i="9"/>
  <c r="E111" i="9"/>
  <c r="E112" i="9"/>
  <c r="E113" i="9"/>
  <c r="E114" i="9"/>
  <c r="E115" i="9"/>
  <c r="E116" i="9"/>
  <c r="E117" i="9"/>
  <c r="E118" i="9"/>
  <c r="E119" i="9"/>
  <c r="E120" i="9"/>
  <c r="E121" i="9"/>
  <c r="E122" i="9"/>
  <c r="E123" i="9"/>
  <c r="E124" i="9"/>
  <c r="E125" i="9"/>
  <c r="E126" i="9"/>
  <c r="E127" i="9"/>
  <c r="E128" i="9"/>
  <c r="E129" i="9"/>
  <c r="E130" i="9"/>
  <c r="E131" i="9"/>
  <c r="E132" i="9"/>
  <c r="E133" i="9"/>
  <c r="E134" i="9"/>
  <c r="E135" i="9"/>
  <c r="E136" i="9"/>
  <c r="E137" i="9"/>
  <c r="E138" i="9"/>
  <c r="E139" i="9"/>
  <c r="E140" i="9"/>
  <c r="E141" i="9"/>
  <c r="E142" i="9"/>
  <c r="E143" i="9"/>
  <c r="E144" i="9"/>
  <c r="E145" i="9"/>
  <c r="E146" i="9"/>
  <c r="E147" i="9"/>
  <c r="E148" i="9"/>
  <c r="E149" i="9"/>
  <c r="E150" i="9"/>
  <c r="E151" i="9"/>
  <c r="E152" i="9"/>
  <c r="E153" i="9"/>
  <c r="E154" i="9"/>
  <c r="E155" i="9"/>
  <c r="E156" i="9"/>
  <c r="E157" i="9"/>
  <c r="E158" i="9"/>
  <c r="E159" i="9"/>
  <c r="E160" i="9"/>
  <c r="E161" i="9"/>
  <c r="E162" i="9"/>
  <c r="E163" i="9"/>
  <c r="E164" i="9"/>
  <c r="E165" i="9"/>
  <c r="E166" i="9"/>
  <c r="E167" i="9"/>
  <c r="E168" i="9"/>
  <c r="E169" i="9"/>
  <c r="E170" i="9"/>
  <c r="E171" i="9"/>
  <c r="E172" i="9"/>
  <c r="E173" i="9"/>
  <c r="E174" i="9"/>
  <c r="E175" i="9"/>
  <c r="E176" i="9"/>
  <c r="E177" i="9"/>
  <c r="E178" i="9"/>
  <c r="E179" i="9"/>
  <c r="E180" i="9"/>
  <c r="E181" i="9"/>
  <c r="E182" i="9"/>
  <c r="E183" i="9"/>
  <c r="E184" i="9"/>
  <c r="E185" i="9"/>
  <c r="E186" i="9"/>
  <c r="E187" i="9"/>
  <c r="E188" i="9"/>
  <c r="E189" i="9"/>
  <c r="E190" i="9"/>
  <c r="E191" i="9"/>
  <c r="E192" i="9"/>
  <c r="E193" i="9"/>
  <c r="E194" i="9"/>
  <c r="E195" i="9"/>
  <c r="E196" i="9"/>
  <c r="E197" i="9"/>
  <c r="E198" i="9"/>
  <c r="E199" i="9"/>
  <c r="E200" i="9"/>
  <c r="E201" i="9"/>
  <c r="E202" i="9"/>
  <c r="E203" i="9"/>
  <c r="E204" i="9"/>
  <c r="E205" i="9"/>
  <c r="E206" i="9"/>
  <c r="E207" i="9"/>
  <c r="E208" i="9"/>
  <c r="E209" i="9"/>
  <c r="E210" i="9"/>
  <c r="E211" i="9"/>
  <c r="E212" i="9"/>
  <c r="E213" i="9"/>
  <c r="E214" i="9"/>
  <c r="E215" i="9"/>
  <c r="E216" i="9"/>
  <c r="E217" i="9"/>
  <c r="E218" i="9"/>
  <c r="E219" i="9"/>
  <c r="E220" i="9"/>
  <c r="E221" i="9"/>
  <c r="E222" i="9"/>
  <c r="E223" i="9"/>
  <c r="E224" i="9"/>
  <c r="E225" i="9"/>
  <c r="E226" i="9"/>
  <c r="E227" i="9"/>
  <c r="E228" i="9"/>
  <c r="E229" i="9"/>
  <c r="E230" i="9"/>
  <c r="E231" i="9"/>
  <c r="E232" i="9"/>
  <c r="E233" i="9"/>
  <c r="E234" i="9"/>
  <c r="E235" i="9"/>
  <c r="E236" i="9"/>
  <c r="E237" i="9"/>
  <c r="E238" i="9"/>
  <c r="E239" i="9"/>
  <c r="E240" i="9"/>
  <c r="E241" i="9"/>
  <c r="E242" i="9"/>
  <c r="E243" i="9"/>
  <c r="E244" i="9"/>
  <c r="E245" i="9"/>
  <c r="E246" i="9"/>
  <c r="E247" i="9"/>
  <c r="E248" i="9"/>
  <c r="E249" i="9"/>
  <c r="E250" i="9"/>
  <c r="E251" i="9"/>
  <c r="E252" i="9"/>
  <c r="E253" i="9"/>
  <c r="E254" i="9"/>
  <c r="E255" i="9"/>
  <c r="E256" i="9"/>
  <c r="E257" i="9"/>
  <c r="E258" i="9"/>
  <c r="E259" i="9"/>
  <c r="E260" i="9"/>
  <c r="E261" i="9"/>
  <c r="E262" i="9"/>
  <c r="E263" i="9"/>
  <c r="E5" i="9"/>
  <c r="D6" i="9"/>
  <c r="D7" i="9"/>
  <c r="D8" i="9"/>
  <c r="D9" i="9"/>
  <c r="D10" i="9"/>
  <c r="D11" i="9"/>
  <c r="D12" i="9"/>
  <c r="D13" i="9"/>
  <c r="D14" i="9"/>
  <c r="D15" i="9"/>
  <c r="D16" i="9"/>
  <c r="D17" i="9"/>
  <c r="D18" i="9"/>
  <c r="D19" i="9"/>
  <c r="D20" i="9"/>
  <c r="D21" i="9"/>
  <c r="D22" i="9"/>
  <c r="D23" i="9"/>
  <c r="D24" i="9"/>
  <c r="D25" i="9"/>
  <c r="D26" i="9"/>
  <c r="D27" i="9"/>
  <c r="D28" i="9"/>
  <c r="D29" i="9"/>
  <c r="D30" i="9"/>
  <c r="D31" i="9"/>
  <c r="D32" i="9"/>
  <c r="D33" i="9"/>
  <c r="D34" i="9"/>
  <c r="D35" i="9"/>
  <c r="D36" i="9"/>
  <c r="D37" i="9"/>
  <c r="D38" i="9"/>
  <c r="D39" i="9"/>
  <c r="D40" i="9"/>
  <c r="D41" i="9"/>
  <c r="D42" i="9"/>
  <c r="D43" i="9"/>
  <c r="D44" i="9"/>
  <c r="D45" i="9"/>
  <c r="D46" i="9"/>
  <c r="D47" i="9"/>
  <c r="D48" i="9"/>
  <c r="D49" i="9"/>
  <c r="D50" i="9"/>
  <c r="D51" i="9"/>
  <c r="D52" i="9"/>
  <c r="D53" i="9"/>
  <c r="D54" i="9"/>
  <c r="D55" i="9"/>
  <c r="D56" i="9"/>
  <c r="D57" i="9"/>
  <c r="D58" i="9"/>
  <c r="D59" i="9"/>
  <c r="D60" i="9"/>
  <c r="D61" i="9"/>
  <c r="D62" i="9"/>
  <c r="D63" i="9"/>
  <c r="D64" i="9"/>
  <c r="D65" i="9"/>
  <c r="D66" i="9"/>
  <c r="D67" i="9"/>
  <c r="D68" i="9"/>
  <c r="D69" i="9"/>
  <c r="D70" i="9"/>
  <c r="D71" i="9"/>
  <c r="D72" i="9"/>
  <c r="D73" i="9"/>
  <c r="D74" i="9"/>
  <c r="D75" i="9"/>
  <c r="D76" i="9"/>
  <c r="D77" i="9"/>
  <c r="D78" i="9"/>
  <c r="D79" i="9"/>
  <c r="D80" i="9"/>
  <c r="D81" i="9"/>
  <c r="D82" i="9"/>
  <c r="D83" i="9"/>
  <c r="D84" i="9"/>
  <c r="D85" i="9"/>
  <c r="D86" i="9"/>
  <c r="D87" i="9"/>
  <c r="D88" i="9"/>
  <c r="D89" i="9"/>
  <c r="D90" i="9"/>
  <c r="D91" i="9"/>
  <c r="D92" i="9"/>
  <c r="D93" i="9"/>
  <c r="D94" i="9"/>
  <c r="D95" i="9"/>
  <c r="D96" i="9"/>
  <c r="D97" i="9"/>
  <c r="D98" i="9"/>
  <c r="D99" i="9"/>
  <c r="D100" i="9"/>
  <c r="D101" i="9"/>
  <c r="D102" i="9"/>
  <c r="D103" i="9"/>
  <c r="D104" i="9"/>
  <c r="D105" i="9"/>
  <c r="D106" i="9"/>
  <c r="D107" i="9"/>
  <c r="D108" i="9"/>
  <c r="D109" i="9"/>
  <c r="D110" i="9"/>
  <c r="D111" i="9"/>
  <c r="D112" i="9"/>
  <c r="D113" i="9"/>
  <c r="D114" i="9"/>
  <c r="D115" i="9"/>
  <c r="D116" i="9"/>
  <c r="D117" i="9"/>
  <c r="D118" i="9"/>
  <c r="D119" i="9"/>
  <c r="D120" i="9"/>
  <c r="D121" i="9"/>
  <c r="D122" i="9"/>
  <c r="D123" i="9"/>
  <c r="D124" i="9"/>
  <c r="D125" i="9"/>
  <c r="D126" i="9"/>
  <c r="D127" i="9"/>
  <c r="D128" i="9"/>
  <c r="D129" i="9"/>
  <c r="D130" i="9"/>
  <c r="D131" i="9"/>
  <c r="D132" i="9"/>
  <c r="D133" i="9"/>
  <c r="D134" i="9"/>
  <c r="D135" i="9"/>
  <c r="D136" i="9"/>
  <c r="D137" i="9"/>
  <c r="D138" i="9"/>
  <c r="D139" i="9"/>
  <c r="D140" i="9"/>
  <c r="D141" i="9"/>
  <c r="D142" i="9"/>
  <c r="D143" i="9"/>
  <c r="D144" i="9"/>
  <c r="D145" i="9"/>
  <c r="D146" i="9"/>
  <c r="D147" i="9"/>
  <c r="D148" i="9"/>
  <c r="D149" i="9"/>
  <c r="D150" i="9"/>
  <c r="D151" i="9"/>
  <c r="D152" i="9"/>
  <c r="D153" i="9"/>
  <c r="D154" i="9"/>
  <c r="D155" i="9"/>
  <c r="D156" i="9"/>
  <c r="D157" i="9"/>
  <c r="D158" i="9"/>
  <c r="D159" i="9"/>
  <c r="D160" i="9"/>
  <c r="D161" i="9"/>
  <c r="D162" i="9"/>
  <c r="D163" i="9"/>
  <c r="D164" i="9"/>
  <c r="D165" i="9"/>
  <c r="D166" i="9"/>
  <c r="D167" i="9"/>
  <c r="D168" i="9"/>
  <c r="D169" i="9"/>
  <c r="D170" i="9"/>
  <c r="D171" i="9"/>
  <c r="D172" i="9"/>
  <c r="D173" i="9"/>
  <c r="D174" i="9"/>
  <c r="D175" i="9"/>
  <c r="D176" i="9"/>
  <c r="D177" i="9"/>
  <c r="D178" i="9"/>
  <c r="D179" i="9"/>
  <c r="D180" i="9"/>
  <c r="D181" i="9"/>
  <c r="D182" i="9"/>
  <c r="D183" i="9"/>
  <c r="D184" i="9"/>
  <c r="D185" i="9"/>
  <c r="D186" i="9"/>
  <c r="D187" i="9"/>
  <c r="D188" i="9"/>
  <c r="D189" i="9"/>
  <c r="D190" i="9"/>
  <c r="D191" i="9"/>
  <c r="D192" i="9"/>
  <c r="D193" i="9"/>
  <c r="D194" i="9"/>
  <c r="D195" i="9"/>
  <c r="D196" i="9"/>
  <c r="D197" i="9"/>
  <c r="D198" i="9"/>
  <c r="D199" i="9"/>
  <c r="D200" i="9"/>
  <c r="D201" i="9"/>
  <c r="D202" i="9"/>
  <c r="D203" i="9"/>
  <c r="D204" i="9"/>
  <c r="D205" i="9"/>
  <c r="D206" i="9"/>
  <c r="D207" i="9"/>
  <c r="D208" i="9"/>
  <c r="D209" i="9"/>
  <c r="D210" i="9"/>
  <c r="D211" i="9"/>
  <c r="D212" i="9"/>
  <c r="D213" i="9"/>
  <c r="D214" i="9"/>
  <c r="D215" i="9"/>
  <c r="D216" i="9"/>
  <c r="D217" i="9"/>
  <c r="D218" i="9"/>
  <c r="D219" i="9"/>
  <c r="D220" i="9"/>
  <c r="D221" i="9"/>
  <c r="D222" i="9"/>
  <c r="D223" i="9"/>
  <c r="D224" i="9"/>
  <c r="D225" i="9"/>
  <c r="D226" i="9"/>
  <c r="D227" i="9"/>
  <c r="D228" i="9"/>
  <c r="D229" i="9"/>
  <c r="D230" i="9"/>
  <c r="D231" i="9"/>
  <c r="D232" i="9"/>
  <c r="D233" i="9"/>
  <c r="D234" i="9"/>
  <c r="D235" i="9"/>
  <c r="D236" i="9"/>
  <c r="D237" i="9"/>
  <c r="D238" i="9"/>
  <c r="D239" i="9"/>
  <c r="D240" i="9"/>
  <c r="D241" i="9"/>
  <c r="D242" i="9"/>
  <c r="D243" i="9"/>
  <c r="D244" i="9"/>
  <c r="D245" i="9"/>
  <c r="D246" i="9"/>
  <c r="D247" i="9"/>
  <c r="D248" i="9"/>
  <c r="D249" i="9"/>
  <c r="D250" i="9"/>
  <c r="D251" i="9"/>
  <c r="D252" i="9"/>
  <c r="D253" i="9"/>
  <c r="D254" i="9"/>
  <c r="D255" i="9"/>
  <c r="D256" i="9"/>
  <c r="D257" i="9"/>
  <c r="D258" i="9"/>
  <c r="D259" i="9"/>
  <c r="D260" i="9"/>
  <c r="D261" i="9"/>
  <c r="D262" i="9"/>
  <c r="D263" i="9"/>
  <c r="D5" i="9"/>
  <c r="H34" i="11" l="1"/>
  <c r="H18" i="11"/>
  <c r="L156" i="4"/>
  <c r="I150" i="4"/>
  <c r="I149" i="4" s="1"/>
  <c r="H149" i="4"/>
  <c r="I148" i="4"/>
  <c r="J148" i="4" s="1"/>
  <c r="K148" i="4" s="1"/>
  <c r="M149" i="4"/>
  <c r="N150" i="4"/>
  <c r="I4" i="5"/>
  <c r="J4" i="5" s="1"/>
  <c r="K4" i="5" s="1"/>
  <c r="L4" i="5" s="1"/>
  <c r="M4" i="5" s="1"/>
  <c r="N4" i="5" s="1"/>
  <c r="O4" i="5" s="1"/>
  <c r="P4" i="5" s="1"/>
  <c r="Q4" i="5" s="1"/>
  <c r="K155" i="4"/>
  <c r="M44" i="4"/>
  <c r="M46" i="4"/>
  <c r="M49" i="4"/>
  <c r="M52" i="4"/>
  <c r="M53" i="4"/>
  <c r="M55" i="4"/>
  <c r="M56" i="4"/>
  <c r="M63" i="4"/>
  <c r="M68" i="4"/>
  <c r="M74" i="4"/>
  <c r="K159" i="4"/>
  <c r="K157" i="4"/>
  <c r="K24" i="12" l="1"/>
  <c r="K23" i="12"/>
  <c r="M48" i="4"/>
  <c r="J150" i="4"/>
  <c r="K150" i="4" s="1"/>
  <c r="K149" i="4" s="1"/>
  <c r="K30" i="12"/>
  <c r="E170" i="4"/>
  <c r="J169" i="4" s="1"/>
  <c r="M71" i="4"/>
  <c r="L96" i="4"/>
  <c r="L105" i="4" s="1"/>
  <c r="L69" i="4"/>
  <c r="L10" i="4" l="1"/>
  <c r="L8" i="4"/>
  <c r="L9" i="4"/>
  <c r="K6" i="12"/>
  <c r="K29" i="12"/>
  <c r="J149" i="4"/>
  <c r="L75" i="4"/>
  <c r="K7" i="12" l="1"/>
  <c r="L107" i="4"/>
  <c r="H28" i="11" l="1"/>
  <c r="K40" i="12"/>
  <c r="D159" i="4"/>
  <c r="N149" i="4"/>
  <c r="N151" i="4" s="1"/>
  <c r="H46" i="8"/>
  <c r="H47" i="8" s="1"/>
  <c r="H33" i="11" s="1"/>
  <c r="D16" i="8"/>
  <c r="D9" i="8"/>
  <c r="D10" i="8"/>
  <c r="D11" i="8"/>
  <c r="D12" i="8"/>
  <c r="D13" i="8"/>
  <c r="D14" i="8"/>
  <c r="D15" i="8"/>
  <c r="D8" i="8"/>
  <c r="O148" i="4"/>
  <c r="P148" i="4" s="1"/>
  <c r="Q148" i="4" s="1"/>
  <c r="R148" i="4" s="1"/>
  <c r="S148" i="4" s="1"/>
  <c r="T148" i="4" s="1"/>
  <c r="U148" i="4" s="1"/>
  <c r="V148" i="4" s="1"/>
  <c r="O150" i="4"/>
  <c r="O149" i="4" s="1"/>
  <c r="M151" i="4"/>
  <c r="I21" i="4"/>
  <c r="J21" i="4" s="1"/>
  <c r="K21" i="4" s="1"/>
  <c r="H36" i="8"/>
  <c r="D28" i="7" a="1"/>
  <c r="D28" i="7" s="1"/>
  <c r="N68" i="4"/>
  <c r="O68" i="4" s="1"/>
  <c r="N46" i="4"/>
  <c r="O46" i="4" s="1"/>
  <c r="P46" i="4" s="1"/>
  <c r="Q46" i="4" s="1"/>
  <c r="R46" i="4" s="1"/>
  <c r="S46" i="4" s="1"/>
  <c r="T46" i="4" s="1"/>
  <c r="U46" i="4" s="1"/>
  <c r="V46" i="4" s="1"/>
  <c r="K39" i="12"/>
  <c r="N55" i="4"/>
  <c r="O55" i="4" s="1"/>
  <c r="P55" i="4" s="1"/>
  <c r="Q55" i="4" s="1"/>
  <c r="R55" i="4" s="1"/>
  <c r="S55" i="4" s="1"/>
  <c r="T55" i="4" s="1"/>
  <c r="U55" i="4" s="1"/>
  <c r="V55" i="4" s="1"/>
  <c r="L17" i="4"/>
  <c r="H155" i="4"/>
  <c r="I155" i="4"/>
  <c r="J155" i="4"/>
  <c r="H101" i="4"/>
  <c r="H104" i="4" s="1"/>
  <c r="H157" i="4"/>
  <c r="I157" i="4"/>
  <c r="J157" i="4"/>
  <c r="H159" i="4"/>
  <c r="I159" i="4"/>
  <c r="J159" i="4"/>
  <c r="N71" i="4"/>
  <c r="O71" i="4" s="1"/>
  <c r="P71" i="4" s="1"/>
  <c r="Q71" i="4" s="1"/>
  <c r="R71" i="4" s="1"/>
  <c r="S71" i="4" s="1"/>
  <c r="T71" i="4" s="1"/>
  <c r="U71" i="4" s="1"/>
  <c r="V71" i="4" s="1"/>
  <c r="N44" i="4"/>
  <c r="O44" i="4" s="1"/>
  <c r="P44" i="4" s="1"/>
  <c r="Q44" i="4" s="1"/>
  <c r="R44" i="4" s="1"/>
  <c r="S44" i="4" s="1"/>
  <c r="T44" i="4" s="1"/>
  <c r="U44" i="4" s="1"/>
  <c r="V44" i="4" s="1"/>
  <c r="N49" i="4"/>
  <c r="O49" i="4" s="1"/>
  <c r="P49" i="4" s="1"/>
  <c r="Q49" i="4" s="1"/>
  <c r="R49" i="4" s="1"/>
  <c r="S49" i="4" s="1"/>
  <c r="T49" i="4" s="1"/>
  <c r="U49" i="4" s="1"/>
  <c r="V49" i="4" s="1"/>
  <c r="N52" i="4"/>
  <c r="O52" i="4" s="1"/>
  <c r="P52" i="4" s="1"/>
  <c r="Q52" i="4" s="1"/>
  <c r="R52" i="4" s="1"/>
  <c r="S52" i="4" s="1"/>
  <c r="T52" i="4" s="1"/>
  <c r="U52" i="4" s="1"/>
  <c r="V52" i="4" s="1"/>
  <c r="N53" i="4"/>
  <c r="O53" i="4" s="1"/>
  <c r="P53" i="4" s="1"/>
  <c r="Q53" i="4" s="1"/>
  <c r="R53" i="4" s="1"/>
  <c r="S53" i="4" s="1"/>
  <c r="T53" i="4" s="1"/>
  <c r="U53" i="4" s="1"/>
  <c r="V53" i="4" s="1"/>
  <c r="N56" i="4"/>
  <c r="O56" i="4" s="1"/>
  <c r="P56" i="4" s="1"/>
  <c r="Q56" i="4" s="1"/>
  <c r="R56" i="4" s="1"/>
  <c r="S56" i="4" s="1"/>
  <c r="T56" i="4" s="1"/>
  <c r="U56" i="4" s="1"/>
  <c r="V56" i="4" s="1"/>
  <c r="I2" i="4"/>
  <c r="J2" i="4" s="1"/>
  <c r="K2" i="4" s="1"/>
  <c r="I3" i="1"/>
  <c r="J3" i="1" s="1"/>
  <c r="K3" i="1" s="1"/>
  <c r="K154" i="4" l="1"/>
  <c r="K156" i="4" s="1"/>
  <c r="L13" i="4"/>
  <c r="K10" i="12" s="1"/>
  <c r="K8" i="12"/>
  <c r="I96" i="4"/>
  <c r="I105" i="4" s="1"/>
  <c r="J16" i="4"/>
  <c r="I16" i="4"/>
  <c r="I17" i="4"/>
  <c r="J15" i="4"/>
  <c r="J8" i="7"/>
  <c r="H8" i="8" s="1"/>
  <c r="K16" i="4"/>
  <c r="L16" i="4"/>
  <c r="I15" i="4"/>
  <c r="J17" i="4"/>
  <c r="K17" i="4"/>
  <c r="K37" i="12"/>
  <c r="K38" i="12"/>
  <c r="K15" i="4"/>
  <c r="L15" i="4"/>
  <c r="I23" i="12"/>
  <c r="I24" i="12"/>
  <c r="G24" i="12"/>
  <c r="H23" i="12"/>
  <c r="I39" i="12"/>
  <c r="H24" i="12"/>
  <c r="M12" i="4"/>
  <c r="H40" i="8" s="1"/>
  <c r="H39" i="12"/>
  <c r="J23" i="12"/>
  <c r="J24" i="12"/>
  <c r="L7" i="4"/>
  <c r="J39" i="12"/>
  <c r="L57" i="4"/>
  <c r="J11" i="4"/>
  <c r="J170" i="4"/>
  <c r="J171" i="4" s="1"/>
  <c r="L11" i="4"/>
  <c r="M11" i="4" s="1"/>
  <c r="M81" i="4" s="1"/>
  <c r="L21" i="4"/>
  <c r="M21" i="4" s="1"/>
  <c r="N21" i="4" s="1"/>
  <c r="O21" i="4" s="1"/>
  <c r="P21" i="4" s="1"/>
  <c r="Q21" i="4" s="1"/>
  <c r="R21" i="4" s="1"/>
  <c r="S21" i="4" s="1"/>
  <c r="T21" i="4" s="1"/>
  <c r="U21" i="4" s="1"/>
  <c r="V21" i="4" s="1"/>
  <c r="N2" i="4"/>
  <c r="O2" i="4" s="1"/>
  <c r="P2" i="4" s="1"/>
  <c r="Q2" i="4" s="1"/>
  <c r="R2" i="4" s="1"/>
  <c r="S2" i="4" s="1"/>
  <c r="T2" i="4" s="1"/>
  <c r="U2" i="4" s="1"/>
  <c r="V2" i="4" s="1"/>
  <c r="L2" i="4"/>
  <c r="H9" i="4"/>
  <c r="K9" i="4"/>
  <c r="J10" i="4"/>
  <c r="J9" i="4"/>
  <c r="I9" i="4"/>
  <c r="N74" i="4"/>
  <c r="O74" i="4" s="1"/>
  <c r="P74" i="4" s="1"/>
  <c r="Q74" i="4" s="1"/>
  <c r="R74" i="4" s="1"/>
  <c r="S74" i="4" s="1"/>
  <c r="T74" i="4" s="1"/>
  <c r="U74" i="4" s="1"/>
  <c r="V74" i="4" s="1"/>
  <c r="N63" i="4"/>
  <c r="J7" i="4"/>
  <c r="I8" i="4"/>
  <c r="K10" i="4"/>
  <c r="I10" i="4"/>
  <c r="K8" i="4"/>
  <c r="K11" i="4"/>
  <c r="K7" i="4"/>
  <c r="H10" i="4"/>
  <c r="J8" i="4"/>
  <c r="O151" i="4"/>
  <c r="P150" i="4"/>
  <c r="P149" i="4" s="1"/>
  <c r="P68" i="4"/>
  <c r="H25" i="4"/>
  <c r="J69" i="4"/>
  <c r="I30" i="12"/>
  <c r="H96" i="4"/>
  <c r="I69" i="4"/>
  <c r="H30" i="12"/>
  <c r="H73" i="4"/>
  <c r="K96" i="4"/>
  <c r="K105" i="4" s="1"/>
  <c r="J96" i="4"/>
  <c r="J105" i="4" s="1"/>
  <c r="K57" i="4"/>
  <c r="K69" i="4"/>
  <c r="J57" i="4"/>
  <c r="H57" i="4"/>
  <c r="I57" i="4"/>
  <c r="J8" i="8" l="1"/>
  <c r="N8" i="8" s="1"/>
  <c r="G30" i="12"/>
  <c r="G29" i="12"/>
  <c r="M167" i="4"/>
  <c r="K16" i="12"/>
  <c r="K19" i="12"/>
  <c r="M13" i="4"/>
  <c r="E138" i="4" s="1"/>
  <c r="K9" i="12"/>
  <c r="M16" i="4"/>
  <c r="M17" i="4"/>
  <c r="K8" i="8"/>
  <c r="K36" i="12"/>
  <c r="K35" i="12"/>
  <c r="K34" i="12"/>
  <c r="K25" i="12"/>
  <c r="K33" i="12"/>
  <c r="M15" i="4"/>
  <c r="H29" i="12"/>
  <c r="J30" i="12"/>
  <c r="I19" i="4"/>
  <c r="H28" i="12"/>
  <c r="I36" i="12"/>
  <c r="I35" i="12"/>
  <c r="H37" i="12"/>
  <c r="H38" i="12"/>
  <c r="H19" i="4"/>
  <c r="G28" i="12"/>
  <c r="H29" i="4"/>
  <c r="I38" i="12"/>
  <c r="I37" i="12"/>
  <c r="K158" i="4"/>
  <c r="K160" i="4" s="1"/>
  <c r="J29" i="12"/>
  <c r="I34" i="12"/>
  <c r="I33" i="12"/>
  <c r="I25" i="12"/>
  <c r="I14" i="12"/>
  <c r="J36" i="12"/>
  <c r="J35" i="12"/>
  <c r="J19" i="4"/>
  <c r="I28" i="12"/>
  <c r="I158" i="4"/>
  <c r="L19" i="4"/>
  <c r="K28" i="12"/>
  <c r="K19" i="4"/>
  <c r="J28" i="12"/>
  <c r="K14" i="12"/>
  <c r="K15" i="12"/>
  <c r="H36" i="12"/>
  <c r="H35" i="12"/>
  <c r="J33" i="12"/>
  <c r="J34" i="12"/>
  <c r="J25" i="12"/>
  <c r="I29" i="12"/>
  <c r="H34" i="12"/>
  <c r="H33" i="12"/>
  <c r="H25" i="12"/>
  <c r="J6" i="12"/>
  <c r="J14" i="12"/>
  <c r="H158" i="4"/>
  <c r="I6" i="12"/>
  <c r="J37" i="12"/>
  <c r="J38" i="12"/>
  <c r="I107" i="4"/>
  <c r="H6" i="12"/>
  <c r="H35" i="8"/>
  <c r="H24" i="11" a="1"/>
  <c r="H24" i="11" s="1"/>
  <c r="L76" i="4"/>
  <c r="N8" i="4"/>
  <c r="O8" i="4" s="1"/>
  <c r="P8" i="4" s="1"/>
  <c r="Q8" i="4" s="1"/>
  <c r="R8" i="4" s="1"/>
  <c r="S8" i="4" s="1"/>
  <c r="T8" i="4" s="1"/>
  <c r="U8" i="4" s="1"/>
  <c r="V8" i="4" s="1"/>
  <c r="M9" i="4"/>
  <c r="N9" i="4" s="1"/>
  <c r="O9" i="4" s="1"/>
  <c r="P9" i="4" s="1"/>
  <c r="Q9" i="4" s="1"/>
  <c r="R9" i="4" s="1"/>
  <c r="S9" i="4" s="1"/>
  <c r="T9" i="4" s="1"/>
  <c r="U9" i="4" s="1"/>
  <c r="V9" i="4" s="1"/>
  <c r="M10" i="4"/>
  <c r="N10" i="4" s="1"/>
  <c r="O10" i="4" s="1"/>
  <c r="P10" i="4" s="1"/>
  <c r="Q10" i="4" s="1"/>
  <c r="R10" i="4" s="1"/>
  <c r="S10" i="4" s="1"/>
  <c r="T10" i="4" s="1"/>
  <c r="U10" i="4" s="1"/>
  <c r="V10" i="4" s="1"/>
  <c r="O63" i="4"/>
  <c r="P63" i="4" s="1"/>
  <c r="H37" i="11"/>
  <c r="Q150" i="4"/>
  <c r="Q149" i="4" s="1"/>
  <c r="Q68" i="4"/>
  <c r="U8" i="7"/>
  <c r="J75" i="4"/>
  <c r="J76" i="4" s="1"/>
  <c r="I75" i="4"/>
  <c r="I76" i="4" s="1"/>
  <c r="K75" i="4"/>
  <c r="K76" i="4" s="1"/>
  <c r="J107" i="4"/>
  <c r="K107" i="4"/>
  <c r="H75" i="4"/>
  <c r="H76" i="4" s="1"/>
  <c r="N13" i="4" l="1"/>
  <c r="H41" i="8"/>
  <c r="N22" i="8"/>
  <c r="N23" i="8"/>
  <c r="H37" i="8"/>
  <c r="K18" i="12"/>
  <c r="K17" i="12"/>
  <c r="K20" i="12"/>
  <c r="H29" i="11"/>
  <c r="K11" i="12"/>
  <c r="L10" i="12"/>
  <c r="J40" i="12"/>
  <c r="J7" i="12"/>
  <c r="H40" i="12"/>
  <c r="H7" i="12"/>
  <c r="N16" i="4"/>
  <c r="O16" i="4" s="1"/>
  <c r="L35" i="12"/>
  <c r="L36" i="12"/>
  <c r="J158" i="4"/>
  <c r="H31" i="4"/>
  <c r="G7" i="12"/>
  <c r="I40" i="12"/>
  <c r="I7" i="12"/>
  <c r="N17" i="4"/>
  <c r="L38" i="12"/>
  <c r="L37" i="12"/>
  <c r="M157" i="4"/>
  <c r="N12" i="4"/>
  <c r="M30" i="4"/>
  <c r="N11" i="4"/>
  <c r="Q63" i="4"/>
  <c r="P151" i="4"/>
  <c r="Q151" i="4"/>
  <c r="R150" i="4"/>
  <c r="R68" i="4"/>
  <c r="S68" i="4" s="1"/>
  <c r="T68" i="4" s="1"/>
  <c r="U68" i="4" s="1"/>
  <c r="V68" i="4" s="1"/>
  <c r="U22" i="7"/>
  <c r="U23" i="7"/>
  <c r="T8" i="7"/>
  <c r="H48" i="8" l="1"/>
  <c r="H42" i="8"/>
  <c r="H33" i="4"/>
  <c r="H35" i="4" s="1"/>
  <c r="H8" i="12"/>
  <c r="N35" i="12"/>
  <c r="N36" i="12"/>
  <c r="O17" i="4"/>
  <c r="M38" i="12"/>
  <c r="M37" i="12"/>
  <c r="I8" i="12"/>
  <c r="I154" i="4"/>
  <c r="I156" i="4" s="1"/>
  <c r="I160" i="4" s="1"/>
  <c r="M36" i="12"/>
  <c r="M35" i="12"/>
  <c r="J154" i="4"/>
  <c r="J156" i="4" s="1"/>
  <c r="J160" i="4" s="1"/>
  <c r="J8" i="12"/>
  <c r="P16" i="4"/>
  <c r="H30" i="11"/>
  <c r="O12" i="4"/>
  <c r="R149" i="4"/>
  <c r="S150" i="4"/>
  <c r="O11" i="4"/>
  <c r="P11" i="4" s="1"/>
  <c r="R63" i="4"/>
  <c r="S22" i="7"/>
  <c r="S23" i="7"/>
  <c r="T22" i="7"/>
  <c r="T23" i="7"/>
  <c r="H31" i="8" l="1"/>
  <c r="H32" i="8" s="1"/>
  <c r="E28" i="7" a="1"/>
  <c r="E28" i="7" s="1"/>
  <c r="H28" i="7" s="1"/>
  <c r="J28" i="7" s="1"/>
  <c r="H15" i="12"/>
  <c r="H9" i="12"/>
  <c r="H16" i="12"/>
  <c r="I13" i="4"/>
  <c r="H10" i="12" s="1"/>
  <c r="O35" i="12"/>
  <c r="O36" i="12"/>
  <c r="J13" i="4"/>
  <c r="I10" i="12" s="1"/>
  <c r="I16" i="12"/>
  <c r="I9" i="12"/>
  <c r="I15" i="12"/>
  <c r="I20" i="12"/>
  <c r="P17" i="4"/>
  <c r="N38" i="12"/>
  <c r="N37" i="12"/>
  <c r="H156" i="4"/>
  <c r="H160" i="4" s="1"/>
  <c r="J20" i="12"/>
  <c r="J15" i="12"/>
  <c r="J16" i="12"/>
  <c r="J9" i="12"/>
  <c r="K13" i="4"/>
  <c r="J10" i="12" s="1"/>
  <c r="G9" i="12"/>
  <c r="G10" i="12"/>
  <c r="H37" i="4"/>
  <c r="H85" i="4" s="1"/>
  <c r="H87" i="4" s="1"/>
  <c r="H105" i="4" s="1"/>
  <c r="H107" i="4" s="1"/>
  <c r="Q16" i="4"/>
  <c r="P12" i="4"/>
  <c r="R151" i="4"/>
  <c r="T150" i="4"/>
  <c r="S149" i="4"/>
  <c r="S63" i="4"/>
  <c r="J30" i="7" l="1"/>
  <c r="H35" i="11"/>
  <c r="G19" i="12"/>
  <c r="G11" i="12"/>
  <c r="G17" i="12"/>
  <c r="H14" i="4"/>
  <c r="I11" i="12"/>
  <c r="I17" i="12"/>
  <c r="I19" i="12"/>
  <c r="I18" i="12"/>
  <c r="J14" i="4"/>
  <c r="P36" i="12"/>
  <c r="P35" i="12"/>
  <c r="Q17" i="4"/>
  <c r="O38" i="12"/>
  <c r="O37" i="12"/>
  <c r="K14" i="4"/>
  <c r="J11" i="12"/>
  <c r="J17" i="12"/>
  <c r="J18" i="12"/>
  <c r="J19" i="12"/>
  <c r="I14" i="4"/>
  <c r="H11" i="12"/>
  <c r="H17" i="12"/>
  <c r="H19" i="12"/>
  <c r="H18" i="12"/>
  <c r="O13" i="4"/>
  <c r="P13" i="4" s="1"/>
  <c r="M10" i="12"/>
  <c r="Q12" i="4"/>
  <c r="R12" i="4" s="1"/>
  <c r="R16" i="4"/>
  <c r="H38" i="11"/>
  <c r="Q11" i="4"/>
  <c r="U150" i="4"/>
  <c r="T149" i="4"/>
  <c r="S151" i="4"/>
  <c r="T63" i="4"/>
  <c r="H49" i="8" l="1"/>
  <c r="H36" i="11" s="1"/>
  <c r="Q36" i="12"/>
  <c r="Q35" i="12"/>
  <c r="R17" i="4"/>
  <c r="P38" i="12"/>
  <c r="P37" i="12"/>
  <c r="N10" i="12"/>
  <c r="S16" i="4"/>
  <c r="U149" i="4"/>
  <c r="V150" i="4"/>
  <c r="R11" i="4"/>
  <c r="S11" i="4" s="1"/>
  <c r="T151" i="4"/>
  <c r="S12" i="4"/>
  <c r="U63" i="4"/>
  <c r="H51" i="8" l="1"/>
  <c r="E141" i="4" s="1"/>
  <c r="R36" i="12"/>
  <c r="R35" i="12"/>
  <c r="S17" i="4"/>
  <c r="Q37" i="12"/>
  <c r="Q38" i="12"/>
  <c r="Q13" i="4"/>
  <c r="R13" i="4" s="1"/>
  <c r="O10" i="12"/>
  <c r="T16" i="4"/>
  <c r="U151" i="4"/>
  <c r="V149" i="4"/>
  <c r="V151" i="4" s="1"/>
  <c r="W150" i="4"/>
  <c r="W149" i="4" s="1"/>
  <c r="T12" i="4"/>
  <c r="V63" i="4"/>
  <c r="H5" i="5" a="1"/>
  <c r="H39" i="11" l="1"/>
  <c r="T17" i="4"/>
  <c r="R37" i="12"/>
  <c r="R38" i="12"/>
  <c r="S36" i="12"/>
  <c r="S35" i="12"/>
  <c r="P10" i="12"/>
  <c r="U16" i="4"/>
  <c r="T11" i="4"/>
  <c r="U12" i="4"/>
  <c r="H5" i="5"/>
  <c r="I6" i="5"/>
  <c r="J6" i="5" s="1"/>
  <c r="K6" i="5" s="1"/>
  <c r="L6" i="5" s="1"/>
  <c r="M6" i="5" s="1"/>
  <c r="N6" i="5" s="1"/>
  <c r="O6" i="5" s="1"/>
  <c r="P6" i="5" s="1"/>
  <c r="Q6" i="5" s="1"/>
  <c r="T35" i="12" l="1"/>
  <c r="T36" i="12"/>
  <c r="U17" i="4"/>
  <c r="S38" i="12"/>
  <c r="S37" i="12"/>
  <c r="S13" i="4"/>
  <c r="T13" i="4" s="1"/>
  <c r="Q10" i="12"/>
  <c r="V16" i="4"/>
  <c r="U11" i="4"/>
  <c r="V11" i="4" s="1"/>
  <c r="J5" i="5"/>
  <c r="K5" i="5" s="1"/>
  <c r="L5" i="5" s="1"/>
  <c r="M5" i="5" s="1"/>
  <c r="N5" i="5" s="1"/>
  <c r="O5" i="5" s="1"/>
  <c r="P5" i="5" s="1"/>
  <c r="Q5" i="5" s="1"/>
  <c r="V12" i="4"/>
  <c r="V17" i="4" l="1"/>
  <c r="T38" i="12"/>
  <c r="T37" i="12"/>
  <c r="U35" i="12"/>
  <c r="U36" i="12"/>
  <c r="M7" i="4" a="1"/>
  <c r="M7" i="4" s="1"/>
  <c r="M23" i="4" s="1"/>
  <c r="R10" i="12"/>
  <c r="M121" i="4" l="1"/>
  <c r="M123" i="4" s="1"/>
  <c r="M24" i="4"/>
  <c r="M27" i="4"/>
  <c r="U38" i="12"/>
  <c r="U37" i="12"/>
  <c r="M28" i="4"/>
  <c r="U13" i="4"/>
  <c r="V13" i="4" s="1"/>
  <c r="S10" i="12"/>
  <c r="M61" i="4" l="1"/>
  <c r="M115" i="4" s="1"/>
  <c r="M25" i="4"/>
  <c r="M29" i="4" s="1"/>
  <c r="L7" i="12" s="1"/>
  <c r="M47" i="4"/>
  <c r="U10" i="12"/>
  <c r="T10" i="12"/>
  <c r="M114" i="4" l="1"/>
  <c r="L6" i="12"/>
  <c r="M31" i="4"/>
  <c r="L8" i="12" l="1"/>
  <c r="M154" i="4"/>
  <c r="N48" i="4" l="1"/>
  <c r="O48" i="4" l="1"/>
  <c r="P48" i="4" l="1"/>
  <c r="Q48" i="4" l="1"/>
  <c r="R48" i="4" l="1"/>
  <c r="S48" i="4" l="1"/>
  <c r="T48" i="4" l="1"/>
  <c r="U48" i="4" l="1"/>
  <c r="V48" i="4" l="1"/>
  <c r="L33" i="12" l="1"/>
  <c r="L34" i="12"/>
  <c r="L25" i="12"/>
  <c r="M45" i="4"/>
  <c r="N15" i="4"/>
  <c r="O15" i="4" s="1"/>
  <c r="M112" i="4" l="1"/>
  <c r="M113" i="4"/>
  <c r="M117" i="4" s="1"/>
  <c r="M84" i="4" s="1"/>
  <c r="M34" i="12"/>
  <c r="M25" i="12"/>
  <c r="N34" i="12"/>
  <c r="N33" i="12"/>
  <c r="P15" i="4"/>
  <c r="N25" i="12"/>
  <c r="M33" i="12"/>
  <c r="O33" i="12" l="1"/>
  <c r="Q15" i="4"/>
  <c r="O34" i="12"/>
  <c r="O25" i="12"/>
  <c r="M159" i="4"/>
  <c r="P25" i="12" l="1"/>
  <c r="R15" i="4"/>
  <c r="P34" i="12"/>
  <c r="P33" i="12"/>
  <c r="Q25" i="12" l="1"/>
  <c r="Q34" i="12"/>
  <c r="S15" i="4"/>
  <c r="Q33" i="12"/>
  <c r="R34" i="12" l="1"/>
  <c r="T15" i="4"/>
  <c r="R25" i="12"/>
  <c r="R33" i="12"/>
  <c r="S33" i="12" l="1"/>
  <c r="S34" i="12"/>
  <c r="U15" i="4"/>
  <c r="S25" i="12"/>
  <c r="T25" i="12" l="1"/>
  <c r="T34" i="12"/>
  <c r="V15" i="4"/>
  <c r="T33" i="12"/>
  <c r="U33" i="12" l="1"/>
  <c r="U25" i="12"/>
  <c r="U34" i="12"/>
  <c r="N23" i="4" l="1"/>
  <c r="L28" i="7"/>
  <c r="K29" i="7"/>
  <c r="K30" i="7" s="1"/>
  <c r="L30" i="7" s="1"/>
  <c r="H29" i="7"/>
  <c r="N24" i="4" l="1"/>
  <c r="N47" i="4" s="1"/>
  <c r="N121" i="4"/>
  <c r="I29" i="7"/>
  <c r="N27" i="4"/>
  <c r="N28" i="4"/>
  <c r="O23" i="4"/>
  <c r="O121" i="4" s="1"/>
  <c r="N45" i="4"/>
  <c r="N61" i="4" l="1"/>
  <c r="N115" i="4" s="1"/>
  <c r="N25" i="4"/>
  <c r="N29" i="4" s="1"/>
  <c r="N113" i="4"/>
  <c r="N114" i="4"/>
  <c r="I30" i="7"/>
  <c r="H30" i="7" s="1"/>
  <c r="J29" i="7"/>
  <c r="L29" i="7" s="1"/>
  <c r="O28" i="4"/>
  <c r="P23" i="4"/>
  <c r="P121" i="4" s="1"/>
  <c r="O24" i="4"/>
  <c r="O25" i="4" s="1"/>
  <c r="O45" i="4"/>
  <c r="O27" i="4"/>
  <c r="M6" i="12"/>
  <c r="N117" i="4" l="1"/>
  <c r="N84" i="4" s="1"/>
  <c r="N159" i="4" s="1"/>
  <c r="N112" i="4"/>
  <c r="O113" i="4"/>
  <c r="N6" i="12"/>
  <c r="O29" i="4"/>
  <c r="O61" i="4"/>
  <c r="O115" i="4" s="1"/>
  <c r="O47" i="4"/>
  <c r="Q23" i="4"/>
  <c r="Q121" i="4" s="1"/>
  <c r="P45" i="4"/>
  <c r="P24" i="4"/>
  <c r="P25" i="4" s="1"/>
  <c r="P27" i="4"/>
  <c r="P28" i="4"/>
  <c r="M7" i="12"/>
  <c r="O114" i="4" l="1"/>
  <c r="O117" i="4" s="1"/>
  <c r="P113" i="4"/>
  <c r="O112" i="4"/>
  <c r="N7" i="12"/>
  <c r="O6" i="12"/>
  <c r="P29" i="4"/>
  <c r="P61" i="4"/>
  <c r="P115" i="4" s="1"/>
  <c r="P47" i="4"/>
  <c r="Q24" i="4"/>
  <c r="Q27" i="4"/>
  <c r="Q45" i="4"/>
  <c r="Q28" i="4"/>
  <c r="R23" i="4"/>
  <c r="R121" i="4" s="1"/>
  <c r="Q113" i="4" l="1"/>
  <c r="P112" i="4"/>
  <c r="P114" i="4"/>
  <c r="P117" i="4" s="1"/>
  <c r="P84" i="4" s="1"/>
  <c r="P159" i="4" s="1"/>
  <c r="O84" i="4"/>
  <c r="O159" i="4" s="1"/>
  <c r="Q47" i="4"/>
  <c r="Q61" i="4"/>
  <c r="Q115" i="4" s="1"/>
  <c r="R27" i="4"/>
  <c r="R28" i="4"/>
  <c r="R45" i="4"/>
  <c r="S23" i="4"/>
  <c r="S121" i="4" s="1"/>
  <c r="R24" i="4"/>
  <c r="R25" i="4" s="1"/>
  <c r="O7" i="12"/>
  <c r="Q25" i="4"/>
  <c r="Q114" i="4" l="1"/>
  <c r="Q117" i="4" s="1"/>
  <c r="Q84" i="4" s="1"/>
  <c r="Q159" i="4" s="1"/>
  <c r="R113" i="4"/>
  <c r="Q112" i="4"/>
  <c r="P6" i="12"/>
  <c r="Q29" i="4"/>
  <c r="R47" i="4"/>
  <c r="R61" i="4"/>
  <c r="R115" i="4" s="1"/>
  <c r="R29" i="4"/>
  <c r="Q6" i="12"/>
  <c r="S28" i="4"/>
  <c r="S45" i="4"/>
  <c r="T23" i="4"/>
  <c r="T121" i="4" s="1"/>
  <c r="S24" i="4"/>
  <c r="S25" i="4" s="1"/>
  <c r="S27" i="4"/>
  <c r="S113" i="4" l="1"/>
  <c r="R112" i="4"/>
  <c r="R114" i="4"/>
  <c r="R117" i="4" s="1"/>
  <c r="R84" i="4" s="1"/>
  <c r="R159" i="4" s="1"/>
  <c r="S29" i="4"/>
  <c r="R6" i="12"/>
  <c r="Q7" i="12"/>
  <c r="P7" i="12"/>
  <c r="S47" i="4"/>
  <c r="S114" i="4" s="1"/>
  <c r="S61" i="4"/>
  <c r="S115" i="4" s="1"/>
  <c r="U23" i="4"/>
  <c r="U121" i="4" s="1"/>
  <c r="T45" i="4"/>
  <c r="T113" i="4" s="1"/>
  <c r="T24" i="4"/>
  <c r="T27" i="4"/>
  <c r="T28" i="4"/>
  <c r="S117" i="4" l="1"/>
  <c r="S84" i="4" s="1"/>
  <c r="S159" i="4" s="1"/>
  <c r="S112" i="4"/>
  <c r="U24" i="4"/>
  <c r="U25" i="4" s="1"/>
  <c r="U27" i="4"/>
  <c r="U28" i="4"/>
  <c r="U45" i="4"/>
  <c r="U113" i="4" s="1"/>
  <c r="V23" i="4"/>
  <c r="V121" i="4" s="1"/>
  <c r="T47" i="4"/>
  <c r="T61" i="4"/>
  <c r="T115" i="4" s="1"/>
  <c r="T25" i="4"/>
  <c r="R7" i="12"/>
  <c r="T112" i="4" l="1"/>
  <c r="T114" i="4"/>
  <c r="T117" i="4" s="1"/>
  <c r="T84" i="4" s="1"/>
  <c r="T159" i="4" s="1"/>
  <c r="U47" i="4"/>
  <c r="U61" i="4"/>
  <c r="U115" i="4" s="1"/>
  <c r="T6" i="12"/>
  <c r="U29" i="4"/>
  <c r="V27" i="4"/>
  <c r="V28" i="4"/>
  <c r="V24" i="4"/>
  <c r="V25" i="4" s="1"/>
  <c r="V45" i="4"/>
  <c r="S6" i="12"/>
  <c r="T29" i="4"/>
  <c r="V113" i="4" l="1"/>
  <c r="U112" i="4"/>
  <c r="U114" i="4"/>
  <c r="U117" i="4" s="1"/>
  <c r="U84" i="4" s="1"/>
  <c r="U159" i="4" s="1"/>
  <c r="V29" i="4"/>
  <c r="U6" i="12"/>
  <c r="T7" i="12"/>
  <c r="S7" i="12"/>
  <c r="V47" i="4"/>
  <c r="V61" i="4"/>
  <c r="V115" i="4" s="1"/>
  <c r="V112" i="4" l="1"/>
  <c r="V114" i="4"/>
  <c r="V117" i="4" s="1"/>
  <c r="V84" i="4" s="1"/>
  <c r="V159" i="4" s="1"/>
  <c r="U7" i="12"/>
  <c r="M158" i="4" l="1"/>
  <c r="M91" i="4" l="1"/>
  <c r="M96" i="4" s="1"/>
  <c r="M51" i="4"/>
  <c r="N120" i="4" l="1"/>
  <c r="N158" i="4"/>
  <c r="N91" i="4"/>
  <c r="N96" i="4" s="1"/>
  <c r="N81" i="4"/>
  <c r="N122" i="4" s="1"/>
  <c r="N157" i="4" s="1"/>
  <c r="N30" i="4"/>
  <c r="N31" i="4" s="1"/>
  <c r="L39" i="12"/>
  <c r="N123" i="4" l="1"/>
  <c r="N51" i="4" s="1"/>
  <c r="N154" i="4"/>
  <c r="M8" i="12"/>
  <c r="O120" i="4" l="1"/>
  <c r="O30" i="4"/>
  <c r="O31" i="4" s="1"/>
  <c r="O81" i="4"/>
  <c r="O122" i="4" s="1"/>
  <c r="O157" i="4" s="1"/>
  <c r="M39" i="12"/>
  <c r="N8" i="12" l="1"/>
  <c r="O154" i="4"/>
  <c r="O91" i="4"/>
  <c r="O96" i="4" s="1"/>
  <c r="O123" i="4" l="1"/>
  <c r="P120" i="4" s="1"/>
  <c r="O158" i="4"/>
  <c r="O51" i="4" l="1"/>
  <c r="P30" i="4" s="1"/>
  <c r="P31" i="4" s="1"/>
  <c r="P91" i="4"/>
  <c r="P96" i="4" s="1"/>
  <c r="P158" i="4"/>
  <c r="P81" i="4" l="1"/>
  <c r="P122" i="4" s="1"/>
  <c r="N39" i="12"/>
  <c r="Q91" i="4"/>
  <c r="Q96" i="4" s="1"/>
  <c r="Q158" i="4"/>
  <c r="P154" i="4"/>
  <c r="O8" i="12"/>
  <c r="P157" i="4" l="1"/>
  <c r="P123" i="4"/>
  <c r="R91" i="4"/>
  <c r="R96" i="4" s="1"/>
  <c r="R158" i="4"/>
  <c r="P51" i="4" l="1"/>
  <c r="Q120" i="4"/>
  <c r="S91" i="4"/>
  <c r="S96" i="4" s="1"/>
  <c r="S158" i="4"/>
  <c r="Q30" i="4" l="1"/>
  <c r="Q31" i="4" s="1"/>
  <c r="O39" i="12"/>
  <c r="Q81" i="4"/>
  <c r="Q122" i="4" s="1"/>
  <c r="T91" i="4"/>
  <c r="T96" i="4" s="1"/>
  <c r="T158" i="4"/>
  <c r="Q157" i="4" l="1"/>
  <c r="Q123" i="4"/>
  <c r="P8" i="12"/>
  <c r="Q154" i="4"/>
  <c r="U158" i="4"/>
  <c r="U91" i="4"/>
  <c r="U96" i="4" s="1"/>
  <c r="Q51" i="4" l="1"/>
  <c r="R120" i="4"/>
  <c r="V158" i="4"/>
  <c r="V91" i="4"/>
  <c r="V96" i="4" s="1"/>
  <c r="R81" i="4" l="1"/>
  <c r="R122" i="4" s="1"/>
  <c r="P39" i="12"/>
  <c r="R30" i="4"/>
  <c r="R31" i="4" s="1"/>
  <c r="Q8" i="12" l="1"/>
  <c r="R154" i="4"/>
  <c r="R157" i="4"/>
  <c r="R123" i="4"/>
  <c r="R51" i="4" l="1"/>
  <c r="S120" i="4"/>
  <c r="S81" i="4" l="1"/>
  <c r="S122" i="4" s="1"/>
  <c r="S30" i="4"/>
  <c r="S31" i="4" s="1"/>
  <c r="Q39" i="12"/>
  <c r="R8" i="12" l="1"/>
  <c r="S154" i="4"/>
  <c r="S157" i="4"/>
  <c r="S123" i="4"/>
  <c r="T120" i="4" l="1"/>
  <c r="S51" i="4"/>
  <c r="T30" i="4" l="1"/>
  <c r="T31" i="4" s="1"/>
  <c r="T81" i="4"/>
  <c r="T122" i="4" s="1"/>
  <c r="R39" i="12"/>
  <c r="S8" i="12" l="1"/>
  <c r="T154" i="4"/>
  <c r="T157" i="4"/>
  <c r="T123" i="4"/>
  <c r="T51" i="4" l="1"/>
  <c r="U120" i="4"/>
  <c r="U30" i="4" l="1"/>
  <c r="U31" i="4" s="1"/>
  <c r="U81" i="4"/>
  <c r="U122" i="4" s="1"/>
  <c r="S39" i="12"/>
  <c r="T8" i="12" l="1"/>
  <c r="U154" i="4"/>
  <c r="U157" i="4"/>
  <c r="U123" i="4"/>
  <c r="U51" i="4" l="1"/>
  <c r="V120" i="4"/>
  <c r="V81" i="4" l="1"/>
  <c r="V122" i="4" s="1"/>
  <c r="V30" i="4"/>
  <c r="V31" i="4" s="1"/>
  <c r="T39" i="12"/>
  <c r="U8" i="12" l="1"/>
  <c r="V154" i="4"/>
  <c r="V157" i="4"/>
  <c r="V123" i="4"/>
  <c r="V51" i="4" s="1"/>
  <c r="U39" i="12" s="1"/>
  <c r="AA149" i="4" l="1"/>
  <c r="M128" i="4" l="1"/>
  <c r="M32" i="4" s="1"/>
  <c r="M33" i="4" s="1"/>
  <c r="M35" i="4" s="1"/>
  <c r="M36" i="4" s="1"/>
  <c r="M86" i="4" l="1"/>
  <c r="M155" i="4"/>
  <c r="M156" i="4" s="1"/>
  <c r="M160" i="4" s="1"/>
  <c r="M162" i="4" s="1"/>
  <c r="N126" i="4"/>
  <c r="M65" i="4"/>
  <c r="M37" i="4"/>
  <c r="L9" i="12"/>
  <c r="M80" i="4"/>
  <c r="M85" i="4" s="1"/>
  <c r="M69" i="4"/>
  <c r="N32" i="4"/>
  <c r="N33" i="4" s="1"/>
  <c r="N35" i="4" s="1"/>
  <c r="L31" i="12"/>
  <c r="M129" i="4"/>
  <c r="L11" i="12" l="1"/>
  <c r="L17" i="12"/>
  <c r="M102" i="4"/>
  <c r="L19" i="12" s="1"/>
  <c r="M82" i="4"/>
  <c r="M87" i="4" s="1"/>
  <c r="M103" i="4"/>
  <c r="M9" i="12"/>
  <c r="N80" i="4"/>
  <c r="N36" i="4"/>
  <c r="M104" i="4" l="1"/>
  <c r="N155" i="4"/>
  <c r="N156" i="4" s="1"/>
  <c r="N160" i="4" s="1"/>
  <c r="N162" i="4" s="1"/>
  <c r="N86" i="4"/>
  <c r="M105" i="4"/>
  <c r="M107" i="4" s="1"/>
  <c r="M43" i="4" s="1"/>
  <c r="N37" i="4"/>
  <c r="M72" i="4"/>
  <c r="M73" i="4" l="1"/>
  <c r="M11" i="12"/>
  <c r="M17" i="12"/>
  <c r="N102" i="4"/>
  <c r="L23" i="12"/>
  <c r="M57" i="4"/>
  <c r="N106" i="4"/>
  <c r="L24" i="12"/>
  <c r="M19" i="12" l="1"/>
  <c r="L14" i="12"/>
  <c r="M19" i="4"/>
  <c r="L28" i="12"/>
  <c r="L15" i="12"/>
  <c r="M75" i="4"/>
  <c r="M76" i="4" s="1"/>
  <c r="L40" i="12"/>
  <c r="L29" i="12"/>
  <c r="L16" i="12"/>
  <c r="L30" i="12"/>
  <c r="L18" i="12"/>
  <c r="L20" i="12"/>
  <c r="N72" i="4"/>
  <c r="N73" i="4" l="1"/>
  <c r="M18" i="12" l="1"/>
  <c r="M20" i="12"/>
  <c r="M16" i="12"/>
  <c r="N128" i="4"/>
  <c r="N65" i="4" s="1"/>
  <c r="M31" i="12" s="1"/>
  <c r="N129" i="4"/>
  <c r="N103" i="4" s="1"/>
  <c r="N104" i="4" s="1"/>
  <c r="N82" i="4" l="1"/>
  <c r="N85" i="4" s="1"/>
  <c r="N87" i="4" s="1"/>
  <c r="N105" i="4" s="1"/>
  <c r="N107" i="4" s="1"/>
  <c r="N43" i="4" s="1"/>
  <c r="N69" i="4"/>
  <c r="N75" i="4" s="1"/>
  <c r="M29" i="12"/>
  <c r="O32" i="4"/>
  <c r="O33" i="4" s="1"/>
  <c r="O35" i="4" s="1"/>
  <c r="M30" i="12"/>
  <c r="O126" i="4"/>
  <c r="O106" i="4" l="1"/>
  <c r="M23" i="12"/>
  <c r="M24" i="12"/>
  <c r="N57" i="4"/>
  <c r="N76" i="4" s="1"/>
  <c r="N9" i="12"/>
  <c r="O36" i="4"/>
  <c r="O37" i="4" s="1"/>
  <c r="O80" i="4"/>
  <c r="M40" i="12"/>
  <c r="O155" i="4" l="1"/>
  <c r="O156" i="4" s="1"/>
  <c r="O160" i="4" s="1"/>
  <c r="O162" i="4" s="1"/>
  <c r="O86" i="4"/>
  <c r="M14" i="12"/>
  <c r="M15" i="12"/>
  <c r="N19" i="4"/>
  <c r="M28" i="12"/>
  <c r="N11" i="12"/>
  <c r="N17" i="12"/>
  <c r="O102" i="4"/>
  <c r="N19" i="12" l="1"/>
  <c r="O72" i="4"/>
  <c r="O73" i="4" l="1"/>
  <c r="N16" i="12" l="1"/>
  <c r="N18" i="12"/>
  <c r="N20" i="12"/>
  <c r="P32" i="4"/>
  <c r="P33" i="4" s="1"/>
  <c r="P35" i="4" s="1"/>
  <c r="O9" i="12" s="1"/>
  <c r="O82" i="4"/>
  <c r="O85" i="4" s="1"/>
  <c r="O87" i="4" s="1"/>
  <c r="O128" i="4"/>
  <c r="O65" i="4" s="1"/>
  <c r="O129" i="4"/>
  <c r="O103" i="4" s="1"/>
  <c r="O104" i="4" s="1"/>
  <c r="P36" i="4" l="1"/>
  <c r="P80" i="4"/>
  <c r="O105" i="4"/>
  <c r="O107" i="4" s="1"/>
  <c r="O43" i="4" s="1"/>
  <c r="O69" i="4"/>
  <c r="O75" i="4" s="1"/>
  <c r="N29" i="12"/>
  <c r="N30" i="12"/>
  <c r="N31" i="12"/>
  <c r="P126" i="4"/>
  <c r="O57" i="4" l="1"/>
  <c r="O76" i="4" s="1"/>
  <c r="N23" i="12"/>
  <c r="N24" i="12"/>
  <c r="P106" i="4"/>
  <c r="P155" i="4"/>
  <c r="P156" i="4" s="1"/>
  <c r="P160" i="4" s="1"/>
  <c r="P162" i="4" s="1"/>
  <c r="P86" i="4"/>
  <c r="N40" i="12"/>
  <c r="P37" i="4"/>
  <c r="P102" i="4" l="1"/>
  <c r="O19" i="12" s="1"/>
  <c r="O11" i="12"/>
  <c r="O17" i="12"/>
  <c r="N28" i="12"/>
  <c r="N15" i="12"/>
  <c r="N14" i="12"/>
  <c r="O19" i="4"/>
  <c r="P72" i="4" l="1"/>
  <c r="P73" i="4" s="1"/>
  <c r="O20" i="12" s="1"/>
  <c r="O16" i="12" l="1"/>
  <c r="O18" i="12"/>
  <c r="H40" i="11" l="1"/>
  <c r="H42" i="11"/>
  <c r="P19" i="4"/>
  <c r="Q19" i="4"/>
  <c r="R19" i="4"/>
  <c r="S19" i="4"/>
  <c r="T19" i="4"/>
  <c r="U19" i="4"/>
  <c r="V19" i="4"/>
  <c r="Q32" i="4"/>
  <c r="R32" i="4"/>
  <c r="S32" i="4"/>
  <c r="T32" i="4"/>
  <c r="U32" i="4"/>
  <c r="V32" i="4"/>
  <c r="Q33" i="4"/>
  <c r="R33" i="4"/>
  <c r="S33" i="4"/>
  <c r="T33" i="4"/>
  <c r="U33" i="4"/>
  <c r="V33" i="4"/>
  <c r="Q35" i="4"/>
  <c r="R35" i="4"/>
  <c r="S35" i="4"/>
  <c r="T35" i="4"/>
  <c r="U35" i="4"/>
  <c r="V35" i="4"/>
  <c r="Q36" i="4"/>
  <c r="R36" i="4"/>
  <c r="S36" i="4"/>
  <c r="T36" i="4"/>
  <c r="U36" i="4"/>
  <c r="V36" i="4"/>
  <c r="Q37" i="4"/>
  <c r="R37" i="4"/>
  <c r="S37" i="4"/>
  <c r="T37" i="4"/>
  <c r="U37" i="4"/>
  <c r="V37" i="4"/>
  <c r="P43" i="4"/>
  <c r="Q43" i="4"/>
  <c r="R43" i="4"/>
  <c r="S43" i="4"/>
  <c r="T43" i="4"/>
  <c r="U43" i="4"/>
  <c r="V43" i="4"/>
  <c r="P57" i="4"/>
  <c r="Q57" i="4"/>
  <c r="R57" i="4"/>
  <c r="S57" i="4"/>
  <c r="T57" i="4"/>
  <c r="U57" i="4"/>
  <c r="V57" i="4"/>
  <c r="P65" i="4"/>
  <c r="Q65" i="4"/>
  <c r="R65" i="4"/>
  <c r="S65" i="4"/>
  <c r="T65" i="4"/>
  <c r="U65" i="4"/>
  <c r="V65" i="4"/>
  <c r="P69" i="4"/>
  <c r="Q69" i="4"/>
  <c r="R69" i="4"/>
  <c r="S69" i="4"/>
  <c r="T69" i="4"/>
  <c r="U69" i="4"/>
  <c r="V69" i="4"/>
  <c r="Q72" i="4"/>
  <c r="R72" i="4"/>
  <c r="S72" i="4"/>
  <c r="T72" i="4"/>
  <c r="U72" i="4"/>
  <c r="V72" i="4"/>
  <c r="Q73" i="4"/>
  <c r="R73" i="4"/>
  <c r="S73" i="4"/>
  <c r="T73" i="4"/>
  <c r="U73" i="4"/>
  <c r="V73" i="4"/>
  <c r="P75" i="4"/>
  <c r="Q75" i="4"/>
  <c r="R75" i="4"/>
  <c r="S75" i="4"/>
  <c r="T75" i="4"/>
  <c r="U75" i="4"/>
  <c r="V75" i="4"/>
  <c r="P76" i="4"/>
  <c r="Q76" i="4"/>
  <c r="R76" i="4"/>
  <c r="S76" i="4"/>
  <c r="T76" i="4"/>
  <c r="U76" i="4"/>
  <c r="V76" i="4"/>
  <c r="Q80" i="4"/>
  <c r="R80" i="4"/>
  <c r="S80" i="4"/>
  <c r="T80" i="4"/>
  <c r="U80" i="4"/>
  <c r="V80" i="4"/>
  <c r="P82" i="4"/>
  <c r="Q82" i="4"/>
  <c r="R82" i="4"/>
  <c r="S82" i="4"/>
  <c r="T82" i="4"/>
  <c r="U82" i="4"/>
  <c r="V82" i="4"/>
  <c r="P85" i="4"/>
  <c r="Q85" i="4"/>
  <c r="R85" i="4"/>
  <c r="S85" i="4"/>
  <c r="T85" i="4"/>
  <c r="U85" i="4"/>
  <c r="V85" i="4"/>
  <c r="Q86" i="4"/>
  <c r="R86" i="4"/>
  <c r="S86" i="4"/>
  <c r="T86" i="4"/>
  <c r="U86" i="4"/>
  <c r="V86" i="4"/>
  <c r="P87" i="4"/>
  <c r="Q87" i="4"/>
  <c r="R87" i="4"/>
  <c r="S87" i="4"/>
  <c r="T87" i="4"/>
  <c r="U87" i="4"/>
  <c r="V87" i="4"/>
  <c r="Q102" i="4"/>
  <c r="R102" i="4"/>
  <c r="S102" i="4"/>
  <c r="T102" i="4"/>
  <c r="U102" i="4"/>
  <c r="V102" i="4"/>
  <c r="P103" i="4"/>
  <c r="Q103" i="4"/>
  <c r="R103" i="4"/>
  <c r="S103" i="4"/>
  <c r="T103" i="4"/>
  <c r="U103" i="4"/>
  <c r="V103" i="4"/>
  <c r="P104" i="4"/>
  <c r="Q104" i="4"/>
  <c r="R104" i="4"/>
  <c r="S104" i="4"/>
  <c r="T104" i="4"/>
  <c r="U104" i="4"/>
  <c r="V104" i="4"/>
  <c r="P105" i="4"/>
  <c r="Q105" i="4"/>
  <c r="R105" i="4"/>
  <c r="S105" i="4"/>
  <c r="T105" i="4"/>
  <c r="U105" i="4"/>
  <c r="V105" i="4"/>
  <c r="Q106" i="4"/>
  <c r="R106" i="4"/>
  <c r="S106" i="4"/>
  <c r="T106" i="4"/>
  <c r="U106" i="4"/>
  <c r="V106" i="4"/>
  <c r="P107" i="4"/>
  <c r="Q107" i="4"/>
  <c r="R107" i="4"/>
  <c r="S107" i="4"/>
  <c r="T107" i="4"/>
  <c r="U107" i="4"/>
  <c r="V107" i="4"/>
  <c r="Q126" i="4"/>
  <c r="R126" i="4"/>
  <c r="S126" i="4"/>
  <c r="T126" i="4"/>
  <c r="U126" i="4"/>
  <c r="V126" i="4"/>
  <c r="P127" i="4"/>
  <c r="Q127" i="4"/>
  <c r="R127" i="4"/>
  <c r="S127" i="4"/>
  <c r="T127" i="4"/>
  <c r="U127" i="4"/>
  <c r="V127" i="4"/>
  <c r="P128" i="4"/>
  <c r="Q128" i="4"/>
  <c r="R128" i="4"/>
  <c r="S128" i="4"/>
  <c r="T128" i="4"/>
  <c r="U128" i="4"/>
  <c r="V128" i="4"/>
  <c r="P129" i="4"/>
  <c r="Q129" i="4"/>
  <c r="R129" i="4"/>
  <c r="S129" i="4"/>
  <c r="T129" i="4"/>
  <c r="U129" i="4"/>
  <c r="V129" i="4"/>
  <c r="AA150" i="4"/>
  <c r="AA151" i="4"/>
  <c r="Q155" i="4"/>
  <c r="R155" i="4"/>
  <c r="S155" i="4"/>
  <c r="T155" i="4"/>
  <c r="U155" i="4"/>
  <c r="V155" i="4"/>
  <c r="Q156" i="4"/>
  <c r="R156" i="4"/>
  <c r="S156" i="4"/>
  <c r="T156" i="4"/>
  <c r="U156" i="4"/>
  <c r="V156" i="4"/>
  <c r="Q160" i="4"/>
  <c r="R160" i="4"/>
  <c r="S160" i="4"/>
  <c r="T160" i="4"/>
  <c r="U160" i="4"/>
  <c r="V160" i="4"/>
  <c r="W160" i="4"/>
  <c r="Q162" i="4"/>
  <c r="R162" i="4"/>
  <c r="S162" i="4"/>
  <c r="T162" i="4"/>
  <c r="U162" i="4"/>
  <c r="V162" i="4"/>
  <c r="W162" i="4"/>
  <c r="E167" i="4"/>
  <c r="M168" i="4"/>
  <c r="M169" i="4"/>
  <c r="E171" i="4"/>
  <c r="E173" i="4"/>
  <c r="I181" i="4"/>
  <c r="I190" i="4"/>
  <c r="P9" i="12"/>
  <c r="Q9" i="12"/>
  <c r="R9" i="12"/>
  <c r="S9" i="12"/>
  <c r="T9" i="12"/>
  <c r="U9" i="12"/>
  <c r="P11" i="12"/>
  <c r="Q11" i="12"/>
  <c r="R11" i="12"/>
  <c r="S11" i="12"/>
  <c r="T11" i="12"/>
  <c r="U11" i="12"/>
  <c r="O14" i="12"/>
  <c r="P14" i="12"/>
  <c r="Q14" i="12"/>
  <c r="R14" i="12"/>
  <c r="S14" i="12"/>
  <c r="T14" i="12"/>
  <c r="U14" i="12"/>
  <c r="O15" i="12"/>
  <c r="P15" i="12"/>
  <c r="Q15" i="12"/>
  <c r="R15" i="12"/>
  <c r="S15" i="12"/>
  <c r="T15" i="12"/>
  <c r="U15" i="12"/>
  <c r="P16" i="12"/>
  <c r="Q16" i="12"/>
  <c r="R16" i="12"/>
  <c r="S16" i="12"/>
  <c r="T16" i="12"/>
  <c r="U16" i="12"/>
  <c r="P17" i="12"/>
  <c r="Q17" i="12"/>
  <c r="R17" i="12"/>
  <c r="S17" i="12"/>
  <c r="T17" i="12"/>
  <c r="U17" i="12"/>
  <c r="P18" i="12"/>
  <c r="Q18" i="12"/>
  <c r="R18" i="12"/>
  <c r="S18" i="12"/>
  <c r="T18" i="12"/>
  <c r="U18" i="12"/>
  <c r="P19" i="12"/>
  <c r="Q19" i="12"/>
  <c r="R19" i="12"/>
  <c r="S19" i="12"/>
  <c r="T19" i="12"/>
  <c r="U19" i="12"/>
  <c r="P20" i="12"/>
  <c r="Q20" i="12"/>
  <c r="R20" i="12"/>
  <c r="S20" i="12"/>
  <c r="T20" i="12"/>
  <c r="U20" i="12"/>
  <c r="O23" i="12"/>
  <c r="P23" i="12"/>
  <c r="Q23" i="12"/>
  <c r="R23" i="12"/>
  <c r="S23" i="12"/>
  <c r="T23" i="12"/>
  <c r="U23" i="12"/>
  <c r="O24" i="12"/>
  <c r="P24" i="12"/>
  <c r="Q24" i="12"/>
  <c r="R24" i="12"/>
  <c r="S24" i="12"/>
  <c r="T24" i="12"/>
  <c r="U24" i="12"/>
  <c r="O28" i="12"/>
  <c r="P28" i="12"/>
  <c r="Q28" i="12"/>
  <c r="R28" i="12"/>
  <c r="S28" i="12"/>
  <c r="T28" i="12"/>
  <c r="U28" i="12"/>
  <c r="O29" i="12"/>
  <c r="P29" i="12"/>
  <c r="Q29" i="12"/>
  <c r="R29" i="12"/>
  <c r="S29" i="12"/>
  <c r="T29" i="12"/>
  <c r="U29" i="12"/>
  <c r="O30" i="12"/>
  <c r="P30" i="12"/>
  <c r="Q30" i="12"/>
  <c r="R30" i="12"/>
  <c r="S30" i="12"/>
  <c r="T30" i="12"/>
  <c r="U30" i="12"/>
  <c r="O31" i="12"/>
  <c r="P31" i="12"/>
  <c r="Q31" i="12"/>
  <c r="R31" i="12"/>
  <c r="S31" i="12"/>
  <c r="T31" i="12"/>
  <c r="U31" i="12"/>
  <c r="O40" i="12"/>
  <c r="P40" i="12"/>
  <c r="Q40" i="12"/>
  <c r="R40" i="12"/>
  <c r="S40" i="12"/>
  <c r="T40" i="12"/>
  <c r="U40"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tc={D4485A7E-4DAF-437A-AB70-9085CFC84B5A}</author>
  </authors>
  <commentList>
    <comment ref="H45" authorId="0" shapeId="0" xr:uid="{D4485A7E-4DAF-437A-AB70-9085CFC84B5A}">
      <text>
        <t xml:space="preserve">[Threaded comment]
Your version of Excel allows you to read this threaded comment; however, any edits to it will get removed if the file is opened in a newer version of Excel. Learn more: https://go.microsoft.com/fwlink/?linkid=870924
Comment:
    10 Years G-Sec Yield
</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B3E4922-87B6-4D8C-B398-8395EE5753F1}" keepAlive="1" name="Query - Page003" description="Connection to the 'Page003' query in the workbook." type="5" refreshedVersion="0" background="1">
    <dbPr connection="Provider=Microsoft.Mashup.OleDb.1;Data Source=$Workbook$;Location=Page003;Extended Properties=&quot;&quot;" command="SELECT * FROM [Page003]"/>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<sst xmlns="http://schemas.openxmlformats.org/spreadsheetml/2006/main" count="903" uniqueCount="631">
  <si>
    <t>Total Income</t>
  </si>
  <si>
    <t>Profit before exceptional items and tax</t>
  </si>
  <si>
    <t>Profit before tax</t>
  </si>
  <si>
    <t>Non-current assets</t>
  </si>
  <si>
    <t>Capital work-in-progress</t>
  </si>
  <si>
    <t>Total non-current assets</t>
  </si>
  <si>
    <t>Current assets</t>
  </si>
  <si>
    <t>Total current assets</t>
  </si>
  <si>
    <t>Total assets</t>
  </si>
  <si>
    <t>Equity</t>
  </si>
  <si>
    <t>Liabilities</t>
  </si>
  <si>
    <t>Non-current liabilities</t>
  </si>
  <si>
    <t>Current liabilities</t>
  </si>
  <si>
    <t>Total current liabilities</t>
  </si>
  <si>
    <t>Total liabilities</t>
  </si>
  <si>
    <t>Total equity and liabilities</t>
  </si>
  <si>
    <t>Interest received</t>
  </si>
  <si>
    <t>Proceeds from share allotment</t>
  </si>
  <si>
    <t>Interest paid</t>
  </si>
  <si>
    <t>Particulars</t>
  </si>
  <si>
    <t>Units</t>
  </si>
  <si>
    <t>Historical Financial Information</t>
  </si>
  <si>
    <t>Income Satement</t>
  </si>
  <si>
    <t>Britannia Industries Limited</t>
  </si>
  <si>
    <t>Balancesheet</t>
  </si>
  <si>
    <t>Cashflow Statement</t>
  </si>
  <si>
    <t>Financial Statement and Analysis</t>
  </si>
  <si>
    <t>Historical Period</t>
  </si>
  <si>
    <t>Forcasted Period</t>
  </si>
  <si>
    <t>Ratios &amp; Assumptions</t>
  </si>
  <si>
    <t>Income Statement</t>
  </si>
  <si>
    <t>Income</t>
  </si>
  <si>
    <t>Revenue</t>
  </si>
  <si>
    <t>Cost of Goood Sold(COGS)</t>
  </si>
  <si>
    <t>Gross Profit</t>
  </si>
  <si>
    <t>Expense</t>
  </si>
  <si>
    <t>Salalries and Benefits</t>
  </si>
  <si>
    <t>Other SG&amp;A Expenses</t>
  </si>
  <si>
    <t>EBITDA</t>
  </si>
  <si>
    <t>EBIT</t>
  </si>
  <si>
    <t>Other Income</t>
  </si>
  <si>
    <t>Earnings Before Tax</t>
  </si>
  <si>
    <t>Taxes</t>
  </si>
  <si>
    <t>Net Earnings</t>
  </si>
  <si>
    <t>Depriciation and Amortization Expense</t>
  </si>
  <si>
    <t>Assets</t>
  </si>
  <si>
    <t>Current Assets</t>
  </si>
  <si>
    <t>Cash</t>
  </si>
  <si>
    <t>Bank Deposits</t>
  </si>
  <si>
    <t>Accounts Receivables</t>
  </si>
  <si>
    <t>Inventory</t>
  </si>
  <si>
    <t>Other Current Assets</t>
  </si>
  <si>
    <t>Non-Current Assets</t>
  </si>
  <si>
    <t>Property &amp; Equiipments</t>
  </si>
  <si>
    <t>Financial Assets</t>
  </si>
  <si>
    <t>Other Non Current Assets</t>
  </si>
  <si>
    <t>Total Assets</t>
  </si>
  <si>
    <t>Current Liabilities</t>
  </si>
  <si>
    <t>Accounts Payables</t>
  </si>
  <si>
    <t>Other Current Liabilities</t>
  </si>
  <si>
    <t>Non-Current Liabilities</t>
  </si>
  <si>
    <t>Debt</t>
  </si>
  <si>
    <t>Other Non Current Liabilities</t>
  </si>
  <si>
    <t>Total Liabilities</t>
  </si>
  <si>
    <t>Shareholder's Equity</t>
  </si>
  <si>
    <t>Equity Capital</t>
  </si>
  <si>
    <t>Retained Earnings</t>
  </si>
  <si>
    <t>Total Shareholder's Equity</t>
  </si>
  <si>
    <t>Non Controlling Interest</t>
  </si>
  <si>
    <t>Total Liabilities &amp; Shahreholder Equity</t>
  </si>
  <si>
    <t>Investments</t>
  </si>
  <si>
    <t>Check</t>
  </si>
  <si>
    <t>Cashflow from Operating Acitvities</t>
  </si>
  <si>
    <t>(+/-) Depriciation&amp;Amortisation</t>
  </si>
  <si>
    <t>(+/-) Change In Working Capital</t>
  </si>
  <si>
    <t>Cashflow from Investing Activities</t>
  </si>
  <si>
    <t>(-) Investments in Properties and equipment</t>
  </si>
  <si>
    <t>(+) Sale of Property plant and Equipment</t>
  </si>
  <si>
    <t>(+) Investment Made in Instruments</t>
  </si>
  <si>
    <t>(-) Sale of investments</t>
  </si>
  <si>
    <t>(+) Interest and Dividend received</t>
  </si>
  <si>
    <t>Cash From Investing Activity</t>
  </si>
  <si>
    <t>Cashflow from Financing Activities</t>
  </si>
  <si>
    <t>Dividend Paid</t>
  </si>
  <si>
    <t>Interest Paid</t>
  </si>
  <si>
    <t>Cash From Financing Activities</t>
  </si>
  <si>
    <t>Net Cashflow</t>
  </si>
  <si>
    <t>Opening Cash Balance</t>
  </si>
  <si>
    <t>Closing Cash Balance</t>
  </si>
  <si>
    <t>Live Scenario</t>
  </si>
  <si>
    <t>Bull Case</t>
  </si>
  <si>
    <t>Revenue(Growth)</t>
  </si>
  <si>
    <t>%</t>
  </si>
  <si>
    <t>Cost of Goood Sold (% of Revenue)</t>
  </si>
  <si>
    <t>Salaries and Benefits (% of Revenue)</t>
  </si>
  <si>
    <t>Other SG&amp;A Expenses (% of Revenue)</t>
  </si>
  <si>
    <t>Depreciation and amortisation expense (% of PP&amp;E)</t>
  </si>
  <si>
    <t>Interest Expenses (% of Debt)</t>
  </si>
  <si>
    <t>Taxes (% of Earnings before Tax)</t>
  </si>
  <si>
    <t>Dividend Payout</t>
  </si>
  <si>
    <t>Days</t>
  </si>
  <si>
    <t>Inventory DIO</t>
  </si>
  <si>
    <t>Times</t>
  </si>
  <si>
    <t>Scenarios</t>
  </si>
  <si>
    <t>Growth</t>
  </si>
  <si>
    <t>Base Case</t>
  </si>
  <si>
    <t>Bear Case</t>
  </si>
  <si>
    <t>Annual Growth Tapering</t>
  </si>
  <si>
    <t>Supporting Schedules</t>
  </si>
  <si>
    <t>Interest Expense</t>
  </si>
  <si>
    <t>Working Capital</t>
  </si>
  <si>
    <t>Accounts Recievable</t>
  </si>
  <si>
    <t>Others</t>
  </si>
  <si>
    <t>Total</t>
  </si>
  <si>
    <t>Depriciation Schedule</t>
  </si>
  <si>
    <t>PPE Opening</t>
  </si>
  <si>
    <t>Plus Capex</t>
  </si>
  <si>
    <t>Less Depriciation</t>
  </si>
  <si>
    <t>PPE Closing</t>
  </si>
  <si>
    <t>Debt &amp; Interest Schedule</t>
  </si>
  <si>
    <t>Debt Opening</t>
  </si>
  <si>
    <t>Issuance(Repayment)</t>
  </si>
  <si>
    <t>Debt Closing</t>
  </si>
  <si>
    <t>Loan Recievables</t>
  </si>
  <si>
    <t>Accounts Payables DPO</t>
  </si>
  <si>
    <t>S.No.</t>
  </si>
  <si>
    <t>Name</t>
  </si>
  <si>
    <t>P/E</t>
  </si>
  <si>
    <t>EV / EBITDA</t>
  </si>
  <si>
    <t>CMP / FCF</t>
  </si>
  <si>
    <t>CMP Rs.</t>
  </si>
  <si>
    <t>ROCE %</t>
  </si>
  <si>
    <t>No. Eq. Shares Cr.</t>
  </si>
  <si>
    <t>No. Eq. Shares PY Cr.</t>
  </si>
  <si>
    <t>Debt Rs.Cr.</t>
  </si>
  <si>
    <t>EV Rs.Cr.</t>
  </si>
  <si>
    <t>EBIDT Ann Rs.Cr.</t>
  </si>
  <si>
    <t>PAT 12M Rs.Cr.</t>
  </si>
  <si>
    <t>Levered Beta</t>
  </si>
  <si>
    <t>Equity Market Return</t>
  </si>
  <si>
    <t>Market Return</t>
  </si>
  <si>
    <t>Britannia Price</t>
  </si>
  <si>
    <t>Nifty Price</t>
  </si>
  <si>
    <t>Britannia Return</t>
  </si>
  <si>
    <t>Nifty Return</t>
  </si>
  <si>
    <t>Date</t>
  </si>
  <si>
    <t>No. of Years</t>
  </si>
  <si>
    <t>Index</t>
  </si>
  <si>
    <t>Nifty 50</t>
  </si>
  <si>
    <t>Beta</t>
  </si>
  <si>
    <t>Company Beta(Regression)</t>
  </si>
  <si>
    <t>Comps Valuation</t>
  </si>
  <si>
    <t>Market Data</t>
  </si>
  <si>
    <t>Financial Data</t>
  </si>
  <si>
    <t>Valuation Metrics</t>
  </si>
  <si>
    <t>Price</t>
  </si>
  <si>
    <t xml:space="preserve">Shares </t>
  </si>
  <si>
    <t>Market Cap</t>
  </si>
  <si>
    <t>EV</t>
  </si>
  <si>
    <t>Sale</t>
  </si>
  <si>
    <t>Earnings</t>
  </si>
  <si>
    <t>EV/Sales</t>
  </si>
  <si>
    <t>EV/EBITDA</t>
  </si>
  <si>
    <t>Company Name</t>
  </si>
  <si>
    <t>₹/share</t>
  </si>
  <si>
    <t>x</t>
  </si>
  <si>
    <t>Average</t>
  </si>
  <si>
    <t>Median</t>
  </si>
  <si>
    <t>Metric</t>
  </si>
  <si>
    <t>Comps</t>
  </si>
  <si>
    <t xml:space="preserve">Net Debt </t>
  </si>
  <si>
    <t>Equity Value</t>
  </si>
  <si>
    <t>Shares</t>
  </si>
  <si>
    <t>Share Price</t>
  </si>
  <si>
    <t>in Cr</t>
  </si>
  <si>
    <t>₹ Cr</t>
  </si>
  <si>
    <t>DCF Model</t>
  </si>
  <si>
    <t>Assumptions</t>
  </si>
  <si>
    <t>Transaction Date</t>
  </si>
  <si>
    <t>Fiscal Year End</t>
  </si>
  <si>
    <t>Tax Rate</t>
  </si>
  <si>
    <t>EV/EBITDA Multiple</t>
  </si>
  <si>
    <t>Perpetual Growth Rate</t>
  </si>
  <si>
    <t>Discount Rate</t>
  </si>
  <si>
    <t>Share Oustanding</t>
  </si>
  <si>
    <t>Discounted Cash Flow</t>
  </si>
  <si>
    <t>Exit</t>
  </si>
  <si>
    <t>Terminal Value</t>
  </si>
  <si>
    <t>Time Period</t>
  </si>
  <si>
    <t>Prep. Growth</t>
  </si>
  <si>
    <t>Year frac.</t>
  </si>
  <si>
    <t>Less: Cash Taxes</t>
  </si>
  <si>
    <t>NOPAT</t>
  </si>
  <si>
    <t>Plus: Depriciation &amp; Amortitization</t>
  </si>
  <si>
    <t>Unlevered FCFF</t>
  </si>
  <si>
    <t>Transaction FCFF</t>
  </si>
  <si>
    <t>Intrinsic Value</t>
  </si>
  <si>
    <t>Market Value</t>
  </si>
  <si>
    <t>Rate of Return</t>
  </si>
  <si>
    <t>Ensterprise Value</t>
  </si>
  <si>
    <t>Current Price</t>
  </si>
  <si>
    <t>Plus: Cash &amp; Cash Equivalents</t>
  </si>
  <si>
    <t>Plus: Debt</t>
  </si>
  <si>
    <t>Target Price</t>
  </si>
  <si>
    <t>Less: Debt</t>
  </si>
  <si>
    <t>Plus: Non Controlling Interest</t>
  </si>
  <si>
    <t>TP upside</t>
  </si>
  <si>
    <t>Less: Non Controlling Interest</t>
  </si>
  <si>
    <t>Less: Cash &amp; Equivalents</t>
  </si>
  <si>
    <t>Enterprise Value</t>
  </si>
  <si>
    <t>Equity per share</t>
  </si>
  <si>
    <t>Sensitivity Analysis</t>
  </si>
  <si>
    <t>Sensitiviities- Intrinsic value(₹/share)</t>
  </si>
  <si>
    <t>Exit Multiple</t>
  </si>
  <si>
    <t>Weigthed Average Cost of Capital</t>
  </si>
  <si>
    <t>Comparable Companies Beta</t>
  </si>
  <si>
    <t xml:space="preserve">Total </t>
  </si>
  <si>
    <t>Debt/</t>
  </si>
  <si>
    <t xml:space="preserve">Tax </t>
  </si>
  <si>
    <t xml:space="preserve">Levered </t>
  </si>
  <si>
    <t xml:space="preserve">Unlevered </t>
  </si>
  <si>
    <t>Value</t>
  </si>
  <si>
    <t>Capital</t>
  </si>
  <si>
    <t>Rate%</t>
  </si>
  <si>
    <t>WACC Calculation</t>
  </si>
  <si>
    <t>Target Capital Structure</t>
  </si>
  <si>
    <t>Proportion of Debt</t>
  </si>
  <si>
    <t>Proportion Of Equity</t>
  </si>
  <si>
    <t>Current Capital Structure</t>
  </si>
  <si>
    <t>Total Debt</t>
  </si>
  <si>
    <t>Debt/ Equity</t>
  </si>
  <si>
    <t>Cost of Debt</t>
  </si>
  <si>
    <t>Pre Tax Cost of Debt</t>
  </si>
  <si>
    <t>After Tax Cost of Debt</t>
  </si>
  <si>
    <t>Cost of Equity</t>
  </si>
  <si>
    <t>Risk Free Rate</t>
  </si>
  <si>
    <t>Equity Risk Premium</t>
  </si>
  <si>
    <t>Levered Equity Beta</t>
  </si>
  <si>
    <t>WACC</t>
  </si>
  <si>
    <t>₹ in Cr</t>
  </si>
  <si>
    <t>Rsquare</t>
  </si>
  <si>
    <t>(+/-) Capex</t>
  </si>
  <si>
    <t>Entry</t>
  </si>
  <si>
    <t>Investments as % of total Assets</t>
  </si>
  <si>
    <t>Company Description</t>
  </si>
  <si>
    <t>ISIN Code</t>
  </si>
  <si>
    <t>Sector Name</t>
  </si>
  <si>
    <t>Industry</t>
  </si>
  <si>
    <t>Exchange Name</t>
  </si>
  <si>
    <t>Website</t>
  </si>
  <si>
    <t>Current Market Price</t>
  </si>
  <si>
    <t>Company Data</t>
  </si>
  <si>
    <t>No. of Outstanding Shares</t>
  </si>
  <si>
    <t>Nos</t>
  </si>
  <si>
    <t>Face Value per Share</t>
  </si>
  <si>
    <t>Rs.</t>
  </si>
  <si>
    <t>Market Capitalisation</t>
  </si>
  <si>
    <t>Unit</t>
  </si>
  <si>
    <t>Amount</t>
  </si>
  <si>
    <t>Revenue Growth — Base Case</t>
  </si>
  <si>
    <t>Revenue Growth — Bull Case</t>
  </si>
  <si>
    <t>Revenue Growth — Bear Case</t>
  </si>
  <si>
    <t>Annual Tapering in Growth Rate</t>
  </si>
  <si>
    <t>EBITDA Margin (FY2026 Actual)</t>
  </si>
  <si>
    <t>PAT Margin (FY2026 Actual)</t>
  </si>
  <si>
    <t>Effective Tax Rate</t>
  </si>
  <si>
    <t>Risk-Free Rate (10yr G-Sec)</t>
  </si>
  <si>
    <t>Equity Beta (Regression)</t>
  </si>
  <si>
    <t>Levered Equity Beta (Used)</t>
  </si>
  <si>
    <t>Pre-Tax Cost of Debt</t>
  </si>
  <si>
    <t>After-Tax Cost of Debt</t>
  </si>
  <si>
    <t>Intrinsic Value (DCF)</t>
  </si>
  <si>
    <t>Recommendation</t>
  </si>
  <si>
    <t>Upside / (Downside)</t>
  </si>
  <si>
    <t>Historical</t>
  </si>
  <si>
    <t>Amounts</t>
  </si>
  <si>
    <t>About Firm</t>
  </si>
  <si>
    <t>Model</t>
  </si>
  <si>
    <t>Scenario Analysis</t>
  </si>
  <si>
    <t>Ratio Analysis</t>
  </si>
  <si>
    <t>Profitability Ratios</t>
  </si>
  <si>
    <t>Gross Margin</t>
  </si>
  <si>
    <t>EBITDA Margin</t>
  </si>
  <si>
    <t>Operating Margin</t>
  </si>
  <si>
    <t>Pretax Margin</t>
  </si>
  <si>
    <t>Effective Tax rate</t>
  </si>
  <si>
    <t>Net Margin</t>
  </si>
  <si>
    <t>DuPont/Earning Power</t>
  </si>
  <si>
    <t>Asset Turnover</t>
  </si>
  <si>
    <t>Pre tax ROA</t>
  </si>
  <si>
    <t>Pre Tax ROE</t>
  </si>
  <si>
    <t>Tax Complement</t>
  </si>
  <si>
    <t>ROE</t>
  </si>
  <si>
    <t>Equity Retention</t>
  </si>
  <si>
    <t>Reinvestment Rate</t>
  </si>
  <si>
    <t>Liquidity Ratio</t>
  </si>
  <si>
    <t>Quick ratio</t>
  </si>
  <si>
    <t>Current ratio</t>
  </si>
  <si>
    <t>Cash Cycle (Days)</t>
  </si>
  <si>
    <t>Leverage</t>
  </si>
  <si>
    <t>Asset/Equity</t>
  </si>
  <si>
    <t>Debt/Equity</t>
  </si>
  <si>
    <t>% LT Debt to Total Capital</t>
  </si>
  <si>
    <t>Operating</t>
  </si>
  <si>
    <t>A/R Turnover</t>
  </si>
  <si>
    <t>Avg. A/R Days</t>
  </si>
  <si>
    <t>Inventory Turnover</t>
  </si>
  <si>
    <t>Avg. Inventory Days</t>
  </si>
  <si>
    <t>A/P Turnover</t>
  </si>
  <si>
    <t>Avg. A/P Days</t>
  </si>
  <si>
    <t>Fixed Asset Turnover</t>
  </si>
  <si>
    <t>ROIC</t>
  </si>
  <si>
    <t>Trend</t>
  </si>
  <si>
    <t>Accounts Recievables DSO</t>
  </si>
  <si>
    <t>Net Working Capital</t>
  </si>
  <si>
    <t>Football Field Data</t>
  </si>
  <si>
    <t>Valuation Summary : Football Field Analysis</t>
  </si>
  <si>
    <t>DCF</t>
  </si>
  <si>
    <t>52-Week hi/lo</t>
  </si>
  <si>
    <t>Market Consenses</t>
  </si>
  <si>
    <t>High</t>
  </si>
  <si>
    <t>Low</t>
  </si>
  <si>
    <t>52 Weeks Hi</t>
  </si>
  <si>
    <t>52 Weeks lo</t>
  </si>
  <si>
    <t>Valuation Summary</t>
  </si>
  <si>
    <t>Sheet Name</t>
  </si>
  <si>
    <t>Description</t>
  </si>
  <si>
    <t>Purpose</t>
  </si>
  <si>
    <t>Key assumptions, company data, valuation output</t>
  </si>
  <si>
    <t>Starting point</t>
  </si>
  <si>
    <t>5-year audited financials (FY2022–FY2026)</t>
  </si>
  <si>
    <t>Base data</t>
  </si>
  <si>
    <t>Integrated 3-statement forecast (FY2027–FY2036)</t>
  </si>
  <si>
    <t>Core model</t>
  </si>
  <si>
    <t>Historical + forecast ratio dashboard</t>
  </si>
  <si>
    <t>Performance metrics</t>
  </si>
  <si>
    <t>Base / Bull / Bear DCF scenarios</t>
  </si>
  <si>
    <t>Sensitivity</t>
  </si>
  <si>
    <t>Peer trading comparables</t>
  </si>
  <si>
    <t>Relative valuation</t>
  </si>
  <si>
    <t>Comp Data</t>
  </si>
  <si>
    <t>Raw peer financial data</t>
  </si>
  <si>
    <t>Source for Comps</t>
  </si>
  <si>
    <t>WACC build (cost of equity, cost of debt)</t>
  </si>
  <si>
    <t>Discount rate</t>
  </si>
  <si>
    <t>Regression beta calculation</t>
  </si>
  <si>
    <t>Beta derivation</t>
  </si>
  <si>
    <t>CMP, market cap, peer prices</t>
  </si>
  <si>
    <t>Market reference</t>
  </si>
  <si>
    <t>Football Field Analysis</t>
  </si>
  <si>
    <t>Valuation range across methodologies</t>
  </si>
  <si>
    <t>Summary visual</t>
  </si>
  <si>
    <t>Index Sheet</t>
  </si>
  <si>
    <t>Interpretation of ratios</t>
  </si>
  <si>
    <t>Key Metrics</t>
  </si>
  <si>
    <t>Assumption</t>
  </si>
  <si>
    <t>Revenue — Base Case</t>
  </si>
  <si>
    <t>Revenue — Bull Case</t>
  </si>
  <si>
    <t>Revenue — Bear Case</t>
  </si>
  <si>
    <t>Base Year Revenue</t>
  </si>
  <si>
    <t xml:space="preserve">  COSTS &amp; EXPENSES</t>
  </si>
  <si>
    <t>COGS</t>
  </si>
  <si>
    <t>Salaries &amp; Benefits</t>
  </si>
  <si>
    <t>Other SG&amp;A</t>
  </si>
  <si>
    <t>Exceptional Items</t>
  </si>
  <si>
    <t xml:space="preserve">  DEPRECIATION &amp; CAPEX</t>
  </si>
  <si>
    <t>Depreciation Rate</t>
  </si>
  <si>
    <t>Capital Expenditure</t>
  </si>
  <si>
    <t xml:space="preserve">  TAXATION</t>
  </si>
  <si>
    <t>Base Tax Rate</t>
  </si>
  <si>
    <t>Tax Rate Step-Up</t>
  </si>
  <si>
    <t xml:space="preserve">  WORKING CAPITAL</t>
  </si>
  <si>
    <t>Receivables (DSO)</t>
  </si>
  <si>
    <t>Inventory (DIO)</t>
  </si>
  <si>
    <t>Payables (DPO)</t>
  </si>
  <si>
    <t>Cash Conversion Cycle</t>
  </si>
  <si>
    <t>Non-Cash WC Movements</t>
  </si>
  <si>
    <t xml:space="preserve">  BALANCE SHEET</t>
  </si>
  <si>
    <t>Cash &amp; Equivalents</t>
  </si>
  <si>
    <t xml:space="preserve">  CAPITAL STRUCTURE</t>
  </si>
  <si>
    <t>Shares Outstanding</t>
  </si>
  <si>
    <t>Non-Controlling Interest</t>
  </si>
  <si>
    <t>Associates P&amp;L</t>
  </si>
  <si>
    <t xml:space="preserve">  DCF INPUTS</t>
  </si>
  <si>
    <t>Terminal Growth Rate</t>
  </si>
  <si>
    <t>Terminal growth rate of 4.00%; proxy for India's long-run nominal GDP floor.</t>
  </si>
  <si>
    <t>Terminal Value — GGM</t>
  </si>
  <si>
    <t>Terminal Value — EV/EBITDA</t>
  </si>
  <si>
    <t>Terminal Value — Blended</t>
  </si>
  <si>
    <t xml:space="preserve">  WACC COMPONENTS</t>
  </si>
  <si>
    <t>Risk-Free Rate</t>
  </si>
  <si>
    <t>7.03%; 10-year Government of India G-Sec yield as of valuation date.</t>
  </si>
  <si>
    <t>Levered Beta (Used)</t>
  </si>
  <si>
    <t>Cost of Equity (CAPM)</t>
  </si>
  <si>
    <t xml:space="preserve">  COMPARABLE COMPANIES</t>
  </si>
  <si>
    <t>Peer Set</t>
  </si>
  <si>
    <t>EV Calculation</t>
  </si>
  <si>
    <t>Valuation Multiples</t>
  </si>
  <si>
    <t xml:space="preserve">  SCENARIO ANALYSIS</t>
  </si>
  <si>
    <t>Scenarios Modelled</t>
  </si>
  <si>
    <t>Scenario Differences</t>
  </si>
  <si>
    <t>Only top-line revenue growth rate differs across scenarios; all other assumptions are identical.</t>
  </si>
  <si>
    <t>Forecast Horizon</t>
  </si>
  <si>
    <t>10-year explicit forecast period: FY2027–FY2036.</t>
  </si>
  <si>
    <t>Section</t>
  </si>
  <si>
    <t>Frozen BS Items</t>
  </si>
  <si>
    <t>All non-operating balance sheet items held flat at FY2026 audited balances throughout the forecast.</t>
  </si>
  <si>
    <t>Assumptions Sheet</t>
  </si>
  <si>
    <t>Star Cements</t>
  </si>
  <si>
    <t>1)  INCOME</t>
  </si>
  <si>
    <t>a)   Revenue from operations</t>
  </si>
  <si>
    <t>b)   Other income</t>
  </si>
  <si>
    <t>2)  EXPENSES</t>
  </si>
  <si>
    <t>a)   Cost of materials consumed</t>
  </si>
  <si>
    <t>b)   Changes in inventories of finished goods and work-in-progress</t>
  </si>
  <si>
    <t>c)   Employee benefits expense</t>
  </si>
  <si>
    <t>d)   Finance costs</t>
  </si>
  <si>
    <t>e)   Depreciation and amortisation expense</t>
  </si>
  <si>
    <t>f)   Power and Fuel expense</t>
  </si>
  <si>
    <t>g)   Carriage Outward expense</t>
  </si>
  <si>
    <t>h)   Other expenses</t>
  </si>
  <si>
    <t>i)   Captive Consumption of Cement</t>
  </si>
  <si>
    <t>Total expenses</t>
  </si>
  <si>
    <t>3)  Profit before exceptional items and tax (1-2)</t>
  </si>
  <si>
    <t>4)  Exceptional Items</t>
  </si>
  <si>
    <t>5)  Profit before tax (3-4)</t>
  </si>
  <si>
    <t>6)  Tax expenses</t>
  </si>
  <si>
    <t>-    Current tax</t>
  </si>
  <si>
    <t>-    Deferred tax</t>
  </si>
  <si>
    <t>-    Tax for earlier years</t>
  </si>
  <si>
    <t>Total tax expenses</t>
  </si>
  <si>
    <t>7)  Profit for the year (5-6)</t>
  </si>
  <si>
    <t>10) Earnings per equity share (face value of ₹ 1 each)</t>
  </si>
  <si>
    <t>Basic (in ₹)</t>
  </si>
  <si>
    <t>Diluted (in ₹)</t>
  </si>
  <si>
    <t>Significant accounting policies</t>
  </si>
  <si>
    <t>-</t>
  </si>
  <si>
    <t>A.  Assets</t>
  </si>
  <si>
    <t>(a)  Property, plant and equipment</t>
  </si>
  <si>
    <t>(b)  Capital work-in-progress</t>
  </si>
  <si>
    <t>(c)  Right-of-use assets</t>
  </si>
  <si>
    <t>(d)  Intangible assets</t>
  </si>
  <si>
    <t>(e)  Intangible assets under development</t>
  </si>
  <si>
    <t>(f)  Financial assets</t>
  </si>
  <si>
    <t xml:space="preserve">     (i)   Investments</t>
  </si>
  <si>
    <t xml:space="preserve">     (ii)  Loans</t>
  </si>
  <si>
    <t xml:space="preserve">     (iii) Other financial assets</t>
  </si>
  <si>
    <t>(g)  Deferred tax assets (net)</t>
  </si>
  <si>
    <t>(h)  Non-current tax assets (net)</t>
  </si>
  <si>
    <t>(i)  Other non-current assets</t>
  </si>
  <si>
    <t>(a)  Inventories</t>
  </si>
  <si>
    <t>(b)  Financial assets</t>
  </si>
  <si>
    <t xml:space="preserve">     (i)   Trade receivables</t>
  </si>
  <si>
    <t xml:space="preserve">     (ii)  Cash and cash equivalents</t>
  </si>
  <si>
    <t xml:space="preserve">     (iii) Other bank balances (other than (ii) above)</t>
  </si>
  <si>
    <t xml:space="preserve">     (iv)  Loans</t>
  </si>
  <si>
    <t xml:space="preserve">     (v)   Other financial assets</t>
  </si>
  <si>
    <t>(c)  Other current assets</t>
  </si>
  <si>
    <t>B.  Equity and liabilities</t>
  </si>
  <si>
    <t>(a)  Equity share capital</t>
  </si>
  <si>
    <t>(b)  Other equity</t>
  </si>
  <si>
    <t>(c)  Non-controlling interest</t>
  </si>
  <si>
    <t>Total Equity</t>
  </si>
  <si>
    <t>(a)  Financial Liabilities</t>
  </si>
  <si>
    <t xml:space="preserve">     (i)  Borrowings</t>
  </si>
  <si>
    <t xml:space="preserve">     (ii) Lease liabilities</t>
  </si>
  <si>
    <t>(b)  Provisions</t>
  </si>
  <si>
    <t>(c)  Other non current liabilities</t>
  </si>
  <si>
    <t>Total Non-Current Liabilities</t>
  </si>
  <si>
    <t>(a)  Financial liabilities</t>
  </si>
  <si>
    <t xml:space="preserve">     (i)   Borrowings</t>
  </si>
  <si>
    <t xml:space="preserve">     (ii)  Lease liabilities</t>
  </si>
  <si>
    <t xml:space="preserve">     (iii) Trade payables</t>
  </si>
  <si>
    <t xml:space="preserve">     (iv)  Other financial liabilities</t>
  </si>
  <si>
    <t>(b)  Other current liabilities</t>
  </si>
  <si>
    <t>(c)  Provisions</t>
  </si>
  <si>
    <t>(d)  Current tax liabilities (net)</t>
  </si>
  <si>
    <t>A  CASH FLOW FROM OPERATING ACTIVITIES</t>
  </si>
  <si>
    <t>Adjustments for :</t>
  </si>
  <si>
    <t>Depreciation and amortisation expenses</t>
  </si>
  <si>
    <t>Amortisation of right-of-use- assets</t>
  </si>
  <si>
    <t>Liability Written Back</t>
  </si>
  <si>
    <t>(Profit)/ Loss on Sale of Property, Plant and Equipment</t>
  </si>
  <si>
    <t>Interest Income</t>
  </si>
  <si>
    <t>Finance Costs</t>
  </si>
  <si>
    <t>Fair Valuation (gain)/ Loss on investments</t>
  </si>
  <si>
    <t>Allowance for doubtful trade receivables</t>
  </si>
  <si>
    <t>Operating Profit before working Capital changes</t>
  </si>
  <si>
    <t>(Increase)/Decrease in Trade receivables</t>
  </si>
  <si>
    <t>(Increase)/Decrease in Inventories</t>
  </si>
  <si>
    <t>Increase/(Decrease ) in trade and other payables</t>
  </si>
  <si>
    <t>Increase/(Decrease ) in Other Liabilities and Provisions</t>
  </si>
  <si>
    <t>Cash Generated from Operations</t>
  </si>
  <si>
    <t>Income Tax Paid (Net of Refunds)</t>
  </si>
  <si>
    <t>Net Cashflow from Operating Activities</t>
  </si>
  <si>
    <t>B  CASH FLOW FROM INVESTING ACTIVITIES</t>
  </si>
  <si>
    <t>Purchase of Property, Plant and Equipment and intangible assets (including cWIP)</t>
  </si>
  <si>
    <t>Sale of Property, Plant and Equipment</t>
  </si>
  <si>
    <t>Redemption/(Investments) in Fixed Deposits/Margin Money (Net)</t>
  </si>
  <si>
    <t>(Purchase)/ sale of Investments</t>
  </si>
  <si>
    <t>Net Cash used in Investing Activities</t>
  </si>
  <si>
    <t>C  CASH FLOW FROM FINANCING ACTIVITIES</t>
  </si>
  <si>
    <t>Buy back of Equity Shares</t>
  </si>
  <si>
    <t>Repayment of Long Term Borrowings</t>
  </si>
  <si>
    <t>Proceeds from /(Repayment of) Short Term Borrowings</t>
  </si>
  <si>
    <t>Payment of lease liability</t>
  </si>
  <si>
    <t>Net Cash used in Financing Activities</t>
  </si>
  <si>
    <t>Net Increase/(decrease) in cash and cash equivalents ( A+B+C)</t>
  </si>
  <si>
    <t>Cash and Cash Equivalents at the beginning of the year</t>
  </si>
  <si>
    <t>Cash and Cash Equivalents at the end of the year</t>
  </si>
  <si>
    <t>(Increase)/decrease in financial and other assets</t>
  </si>
  <si>
    <t>Loan and advances (given)/repaid back (net)</t>
  </si>
  <si>
    <t>Payment of Interim Dividend</t>
  </si>
  <si>
    <t xml:space="preserve">          (2) Total outstanding dues of trade payable other than micro enterprises and small enterprises</t>
  </si>
  <si>
    <t xml:space="preserve">          (1) Total outstanding dues of micro enterprises and small enterprises</t>
  </si>
  <si>
    <t>Finance Cost</t>
  </si>
  <si>
    <t>Intangible Assets</t>
  </si>
  <si>
    <t>Deffered Tax Assets</t>
  </si>
  <si>
    <t>Other Current Financial Liabilities</t>
  </si>
  <si>
    <t>Lease Liabilities</t>
  </si>
  <si>
    <t>Provisions</t>
  </si>
  <si>
    <t>(+/-) Non Operating Income/Expenses</t>
  </si>
  <si>
    <t>(+/-) Finance Costs</t>
  </si>
  <si>
    <t>Profit Before Tax</t>
  </si>
  <si>
    <t>Debt/ebitda</t>
  </si>
  <si>
    <t>Mar Cap Rs.Cr. </t>
  </si>
  <si>
    <t>Sales Rs.Cr.</t>
  </si>
  <si>
    <t>NP Ann Rs.Cr.</t>
  </si>
  <si>
    <t>ROE %</t>
  </si>
  <si>
    <t>EBIT 12M Rs.Cr.</t>
  </si>
  <si>
    <t>UltraTech Cem.</t>
  </si>
  <si>
    <t>Grasim Inds</t>
  </si>
  <si>
    <t>Ambuja Cements</t>
  </si>
  <si>
    <t>Shree Cement</t>
  </si>
  <si>
    <t>J K Cements</t>
  </si>
  <si>
    <t>Dalmia BharatLtd</t>
  </si>
  <si>
    <t>ACC</t>
  </si>
  <si>
    <t>The Ramco Cement</t>
  </si>
  <si>
    <t>JSW Cement</t>
  </si>
  <si>
    <t>Nuvoco Vistas</t>
  </si>
  <si>
    <t>India Cements</t>
  </si>
  <si>
    <t>Star Cement</t>
  </si>
  <si>
    <t>JK Lakshmi Cem.</t>
  </si>
  <si>
    <t>in cr</t>
  </si>
  <si>
    <t>Cash Rs.Cr.</t>
  </si>
  <si>
    <t xml:space="preserve">Income Tax Paid </t>
  </si>
  <si>
    <t>5 years CAGR</t>
  </si>
  <si>
    <t>Capex/ Revenue</t>
  </si>
  <si>
    <t>INE460H01021</t>
  </si>
  <si>
    <t>Star Cement Limited (formerly Cement Manufacturing Company Limited, renamed in 2016) is the largest cement manufacturer in North East India, with its integrated plant at Lumshnong, Meghalaya and grinding units serving the North-East, West Bengal and Bihar. Promoted by the Bhajanka family (Century Plyboards group) and founded in 2001, the company manufactures OPC, PPC, PSC and value-added cement variants. It is listed on both the NSE and BSE.</t>
  </si>
  <si>
    <t>Materials</t>
  </si>
  <si>
    <t>Cement &amp; Cement Products</t>
  </si>
  <si>
    <t>BSE: 540575, NSE: STARCEMENT</t>
  </si>
  <si>
    <t>www.starcement.co.in</t>
  </si>
  <si>
    <t>FY2026 audited revenue of ₹3,795.75 Cr serves as the base for all growth projections.</t>
  </si>
  <si>
    <t>COGS modelled at 15.56% of revenue; FY2024–FY2026 (3-year) historical average, held flat through the forecast.</t>
  </si>
  <si>
    <t>Salaries &amp; Benefits fixed at 7.32% of revenue; FY2022–FY2026 (5-year) historical average.</t>
  </si>
  <si>
    <t>Other SG&amp;A fixed at 54.00% of revenue; FY2022–FY2026 (5-year) historical average.</t>
  </si>
  <si>
    <t>Other income is embedded within Total Income (Revenue) and not forecast as a separate line; FY2022–FY2026 average was ~0.6% of core sales.</t>
  </si>
  <si>
    <t>Exceptional items set to zero across all forecast years (FY2026 actual exceptional gain of ₹11.32 Cr treated as non-recurring).</t>
  </si>
  <si>
    <t>D&amp;A at 15.22% of opening PP&amp;E (FY2026 rate); stepped up +2.00% every three years from FY2030.</t>
  </si>
  <si>
    <t>Capex modelled as % of revenue: 13.75% (FY2027), 28.23% (FY2028), 21.53% (FY2029) reflecting the capacity-expansion plan, then tapering -3.00% p.a. thereafter to 2.93% by FY2036 (₹600 Cr FY2027 capex).</t>
  </si>
  <si>
    <t>Effective tax rate starts at 25.56% (FY2026 actual rate).</t>
  </si>
  <si>
    <t>Tax rate stepped up +0.50% every two years, reaching 28.06% by FY2036.</t>
  </si>
  <si>
    <t>DSO of 18.17 days; FY2023–FY2026 (4-year) historical average on a 365-day convention.</t>
  </si>
  <si>
    <t>DIO of 257.09 days; FY2023–FY2026 (4-year) historical average — reflects large limestone/coal/clinker stockpiles typical of an integrated cement manufacturer.</t>
  </si>
  <si>
    <t>DPO of 165.81 days; FY2023–FY2026 (4-year) historical average on a 365-day convention.</t>
  </si>
  <si>
    <t>Net CCC of +109.45 days, driven by heavy raw-material inventory holding typical of cement manufacturing; modelled as persistent.</t>
  </si>
  <si>
    <t>Non-cash working capital items (Other Current Assets/Liabilities) held flat at FY2026 levels; historically volatile and not reliably forecastable.</t>
  </si>
  <si>
    <t>Cash is the balancing figure in the Balance Sheet; accumulates from ₹571.21 Cr (FY2027) to ₹6,708.51 Cr (FY2036).</t>
  </si>
  <si>
    <t>Debt frozen at ₹493.19 Cr throughout forecast; no new borrowings or repayments assumed.</t>
  </si>
  <si>
    <t>Interest expense projected at 5.79% of total debt (FY2026 actual effective rate); held constant (~₹28.57 Cr p.a.).</t>
  </si>
  <si>
    <t>Equity capital held constant at ₹40.42 Cr; no dilution or buybacks modelled.</t>
  </si>
  <si>
    <t>Shares outstanding held constant at 40.42 crore throughout the forecast period.</t>
  </si>
  <si>
    <t>NCI held flat at FY2026 audited balance of ₹(3.12) Cr.</t>
  </si>
  <si>
    <t>Dividend payout ratio fixed at 3.91% of net income; FY2022–FY2026 (5-year) average, as Star Cement paid no dividend in FY2022–FY2025.</t>
  </si>
  <si>
    <t>Not Applicable — Star Cement carries no separate share of profit/(loss) from associates; this line item does not appear in the model.</t>
  </si>
  <si>
    <t>Final TV is the simple average of GGM and EV/EBITDA terminal values (₹28,071.97 Cr at FY2036), then discounted back via XNPV.</t>
  </si>
  <si>
    <t>1.021x; peer-average unlevered beta of 0.968 re-levered using Star Cement's own D/E of 7.34% and FY2026 effective tax rate of 25.56%.</t>
  </si>
  <si>
    <t>5.79%; FY2026 actual interest expense divided by average total debt.</t>
  </si>
  <si>
    <t>4.31%; pre-tax cost of debt × (1 − effective tax rate of 25.56%).</t>
  </si>
  <si>
    <t>12 listed cement peers: UltraTech Cement, Grasim Industries, Ambuja Cements, Shree Cement, J K Cements, Dalmia Bharat, ACC, The Ramco Cement, JSW Cement, Nuvoco Vistas, India Cements, JK Lakshmi Cement.</t>
  </si>
  <si>
    <t>Peer EV = Market Cap + Total Debt − Cash &amp; Equivalents; sourced from NSE/BSE filings.</t>
  </si>
  <si>
    <t>Sector median EV/EBITDA (16.13x) and P/E (36.37x) multiples used as relative valuation cross-checks.</t>
  </si>
  <si>
    <t>Average EV/EBITDA of 15.43x across 8 large-cap cement peers (UltraTech, Grasim, Ambuja, Shree Cement, J K Cements, Dalmia Bharat, ACC, Ramco Cement) used as the terminal value exit multiple.</t>
  </si>
  <si>
    <t>Buy</t>
  </si>
  <si>
    <t>EBITDA Margin improved from 16.79% in FY2022 to 25.17% in FY2026, the best year in the historical set. My forecast normalises this to a stable 23.13% from FY2028 onwards, since Salaries and Other SG&amp;A are both held at their five-year historical average as a percentage of revenue.</t>
  </si>
  <si>
    <t>Star Cement paid no dividend from FY2022–FY2025, so retention was 100% in those years; FY2026 saw the first payout, taking retention down to 80.43%. My forecast holds the payout ratio at 3.91% (the FY2022–FY2026 average, pulled down by the four zero-dividend years), so retention settles at a high, stable 96.09% from FY2027 onwards.</t>
  </si>
  <si>
    <t>Inventory Turnover is low throughout — around 1.1x–1.4x — because a cement manufacturer holds large limestone, coal and clinker stockpiles; it settles at 1.42x from FY2027 onward, the mechanical inverse of the 257.09-day DIO assumption.</t>
  </si>
  <si>
    <t>A/P Turnover stabilises at 2.20x from FY2027 onwards, the mechanical inverse of the 165.81-day DPO carried forward from the FY2023–FY2026 average.</t>
  </si>
  <si>
    <t>Payable days are held flat at 165.81 days throughout the forecast, in line with the FY2023–FY2026 average — I haven't assumed any change in supplier credit terms.</t>
  </si>
  <si>
    <t>Star Cement's gross margin has strengthened materially, and the forecast assumes it remains stable at ~84%, providing a strong gross-profit base while avoiding reliance on the unusually high FY2026 margin.</t>
  </si>
  <si>
    <t>The effective tax rate swung from a -1.28% credit in FY2022 to 34.78% in FY2023, before settling at 25.56% in FY2026. Rather than carrying FY2026's rate forward indefinitely, I step it up by 0.50% every two years to reach 28.06% by FY2036, avoiding reliance on a single year's favourable tax outcome.</t>
  </si>
  <si>
    <t>Pretax ROA strengthened to ~13% in FY2026 but gradually moderates as the expanding asset base outpaces pretax earnings, indicating slightly lower efficiency in generating pretax returns from assets over the forecast period.</t>
  </si>
  <si>
    <t>Asset turnover remained broadly stable historically and is expected to improve toward 1.0x before moderating to 0.95x by FY2036, as the expanding asset base broadly keeps pace with revenue growth.</t>
  </si>
  <si>
    <t>Tax complement declines from 74.44% to 71.94% as the effective tax rate rises, meaning Star Cement retains a slightly smaller share of its pre-tax earnings over time.</t>
  </si>
  <si>
    <t>The Quick Ratio fell from 1.93x in FY2022 to 0.55x in FY2024, indicating weaker short-term liquidity, before recovering to 0.80x in FY2026. The forecast rises sharply to 3.61x by FY2036.</t>
  </si>
  <si>
    <t>Current ratio declined from 2.42x in FY2022 to 1.31x in FY2026, showing that the company's short-term liquidity cushion narrowed. It then rises sharply in the forecast, reaching 4.41x by FY2036, primarily due to accumulating cash.</t>
  </si>
  <si>
    <t>The normalised 109.45-day cash cycle assumes working-capital requirements stabilise, reducing the extreme FY2026 working-capital burden while remaining structurally positive.</t>
  </si>
  <si>
    <t>A/R turnover stabilises at 20.09x from FY2027, reflecting an assumption of broadly unchanged dealer credit and collection efficiency.</t>
  </si>
  <si>
    <t>Receivable days increased from 15.45 days in FY2022 to 21.21 days in FY2026, I have maintained 18.17 days average throughout the forecast, based on the FY2023–FY2026 average, as I have not assumed any material change in Star Cement's collection cycle.</t>
  </si>
  <si>
    <t>Inventory days increased from 161.46 days in FY2023 to 335.52 days in FY2026, showing a significant increase in inventory held by Star Cement. From FY2027 onward, I have normalised inventory days to 257.09 days, based on the FY2023–FY2026 average.</t>
  </si>
  <si>
    <t>Annual Report 2024-25 Corporate Overview</t>
  </si>
  <si>
    <t>Star Cemenst Investors Presentation -Quarter 4 FY 26</t>
  </si>
  <si>
    <t>IBEF Cement Industry Report</t>
  </si>
  <si>
    <t>I use 13% as a slightly conservative starting point against Star Cement's ~14% FY22–FY26 revenue CAGR, while factoring in the additional growth expected from the announced capacity expansion.</t>
  </si>
  <si>
    <t>I assume 22.2% near-term growth to reflect a strong capacity ramp-up, supported by Star Cement's planned increase from 9.7 MTPA to 16.7 MTPA by FY29, along with stronger demand and realisation</t>
  </si>
  <si>
    <t>I use 7.5% as the downside starting point because it is broadly aligned with the 7–8% FY27 industry cement-volume growth outlook, assuming Star gains little additional market share from the expansion.</t>
  </si>
  <si>
    <t>Debt/EBITDA increased sharply from 0.02x in FY2022 to 0.52x in FY2026, reflecting debt-funded expansion. It subsequently declines to 0.25x by FY2036 as EBITDA grows while debt is held at approximately ₹493 Cr.</t>
  </si>
  <si>
    <t>Long-term debt represented 13.39% of total capital in FY2026, up from 0% in FY2022, reflecting the company's increased reliance on debt during its expansion. The ratio declines to ~6% by FY2036 as the equity base expands while debt remains broadly unchanged.</t>
  </si>
  <si>
    <t>Debt/Equity increased from 0.03x in FY2024 to 0.15x in FY2026, reflecting increased borrowing to support capacity expansion. It then falls steadily to 0.06x by FY2036, as debt remains at approximately ₹493 Cr while equity continues to grow through retained earnings.</t>
  </si>
  <si>
    <t>The Asset/Equity multiplier increased from 1.27x in FY2022 to 1.46x in FY2026, indicating greater use of liabilities to support the asset base. It then declines gradually to 1.22x by FY2036 as retained earnings increase shareholders' equity.</t>
  </si>
  <si>
    <t>The reinvestment rate is 12% in FY2026 and is expected to gradually decline to around 9% by FY2036. The FY2027 spike should be treated cautiously because of the EBT formula issue.</t>
  </si>
  <si>
    <t>Pre-tax ROE improves to 18% by FY2026 but gradually declines to 13% by FY2036 as shareholders' equity grows faster than pre-tax earnings, indicating moderate deterioration in capital efficiency.</t>
  </si>
  <si>
    <t>Net margin improved to 10.88% in FY2026 but is forecast to moderate to ~7–10% before gradually recovering to 8.63% by FY2036, indicating stable but limited expansion in bottom-line profitability.</t>
  </si>
  <si>
    <t>Pretax margin improved from 10.80% in FY2022 to 14.62% in FY2026, but the forecast shows a gradual decline, reaching 9.70% in FY2033, before recovering to 11.99% by FY2036</t>
  </si>
  <si>
    <t>Operating Margin swung between 8.11% (FY2025) and 15.54% (FY2026) historically, and stays volatile in the forecast too — it dips to around 10.7%–11.2% between FY2030–FY2032 before recovering to 12.33% by FY2036. This isn't a change in operating assumptions; it's the depreciation schedule, since D&amp;A steps up +2.00% of opening PP&amp;E every three years as the FY2028 capex (28.23% of revenue) starts amortising.</t>
  </si>
  <si>
    <t>ROIC temporarily declines as Star Cement's expansion increases invested capital faster than operating profits, but recovers to 15.00% by FY2036 as the new capacity contributes to earnings and capital utilisation improves.</t>
  </si>
  <si>
    <t>Fixed asset turnover falls as Star Cement's expansion increases the asset base faster than revenue, before recovering to 2.13x by FY2036 as the new assets are increasingly utilised and revenue compounds.</t>
  </si>
  <si>
    <t>Base Case revenue growth of 13.00% in FY2027, tapered annually at 10% to 5% by FY2036.</t>
  </si>
  <si>
    <t>Bull Case opening growth of 22.25% (FY2023 peak historical growth), tapered at 10% per year using identical tapering logic.</t>
  </si>
  <si>
    <t>Bear Case revenue growth of 7.5% in FY2027, broadly aligned with the 7–8% industry growth outlook, tapered annually to 4% by FY2036</t>
  </si>
  <si>
    <t>Average Revenue growth</t>
  </si>
  <si>
    <t>Discount rate (WACC) of 10.96%; derived from CAPM cost of equity and after-tax cost of debt.</t>
  </si>
  <si>
    <t>4.53%; derived as equity market return (Nifty total-return proxy) minus risk-free rate.</t>
  </si>
  <si>
    <t>11.66%; derived as: Risk-Free Rate (7.03%) + Levered Beta (1.021) × Equity Risk Premium (4.53%).</t>
  </si>
  <si>
    <t>EV/EBITDA exit multiple of 15.43x (average of 8 large-cap listed cement peers) applied on FY2036 EBITDA; FY2036 (undiscounted) terminal value of ₹30,455.03  Cr.</t>
  </si>
  <si>
    <t>Gordon Growth Model terminal value applied; FY2036 (undiscounted) terminal value of ₹21,644.38 Cr.</t>
  </si>
  <si>
    <t>Intrinsic value per share: ₹275.98 vs. CMP ₹198.94; implying +34% Upside. Recommendation: BUY.</t>
  </si>
  <si>
    <t xml:space="preserve">Three scenarios: Base (13.00%), Bull (22.25%), Bear (7.5%) — Base and Bull taper at 10% p.a.; Bear tapers doen to 4% </t>
  </si>
  <si>
    <t>Recovers from a low of 6% in FY2025 to a peak of 14% in FY2026, stays elevated near 12-13% through FY2028, then gradually moderates to ~9% by FY2036 as equity compounds faster than net income.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</si>
</sst>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8" formatCode="&quot;₹&quot;\ #,##0.00;[Red]&quot;₹&quot;\ \-#,##0.00"/>
    <numFmt numFmtId="44" formatCode="_ &quot;₹&quot;\ * #,##0.00_ ;_ &quot;₹&quot;\ * \-#,##0.00_ ;_ &quot;₹&quot;\ * &quot;-&quot;??_ ;_ @_ "/>
    <numFmt numFmtId="164" formatCode="0\A"/>
    <numFmt numFmtId="165" formatCode="0&quot;E&quot;"/>
    <numFmt numFmtId="166" formatCode="#,##0;\(#,##0\);&quot;-&quot;"/>
    <numFmt numFmtId="167" formatCode="0.0%"/>
    <numFmt numFmtId="168" formatCode="#,##0.00;\(#,##0.00\);&quot;-&quot;"/>
    <numFmt numFmtId="169" formatCode="0.000&quot;x&quot;"/>
    <numFmt numFmtId="170" formatCode="#,##0.00_ ;[Red]\-#,##0.00\ "/>
    <numFmt numFmtId="171" formatCode="0.0&quot;x&quot;"/>
    <numFmt numFmtId="172" formatCode="0.000"/>
    <numFmt numFmtId="173" formatCode="0.0"/>
    <numFmt numFmtId="174" formatCode="#,##0.00;\(#,##0.00\);\-"/>
    <numFmt numFmtId="175" formatCode="&quot;₹&quot;\ #,##0.00"/>
    <numFmt numFmtId="176" formatCode="#,##0.0000000;\(#,##0.0000000\);&quot;-&quot;"/>
  </numFmts>
  <fonts count="66" x14ac:knownFonts="1">
    <font>
      <sz val="11"/>
      <color theme="1"/>
      <name val="Calibri"/>
      <family val="2"/>
      <charset val="1"/>
    </font>
    <font>
      <sz val="11"/>
      <color theme="1"/>
      <name val="Calibri"/>
      <family val="2"/>
    </font>
    <font>
      <sz val="11"/>
      <color theme="1"/>
      <name val="Calibri"/>
      <family val="2"/>
    </font>
    <font>
      <sz val="11"/>
      <color theme="1"/>
      <name val="Calibri"/>
      <family val="2"/>
    </font>
    <font>
      <sz val="10"/>
      <name val="Arial"/>
      <family val="2"/>
    </font>
    <font>
      <b/>
      <sz val="11"/>
      <color theme="0"/>
      <name val="Calibri"/>
      <family val="2"/>
    </font>
    <font>
      <b/>
      <sz val="11"/>
      <color theme="1"/>
      <name val="Calibri"/>
      <family val="2"/>
    </font>
    <font>
      <sz val="11"/>
      <color theme="0"/>
      <name val="Calibri"/>
      <family val="2"/>
    </font>
    <font>
      <u/>
      <sz val="11"/>
      <color theme="10"/>
      <name val="Calibri"/>
      <family val="2"/>
      <charset val="1"/>
    </font>
    <font>
      <b/>
      <sz val="25"/>
      <color theme="0"/>
      <name val="Calibri"/>
      <family val="2"/>
    </font>
    <font>
      <sz val="15"/>
      <color theme="0"/>
      <name val="Calibri"/>
      <family val="2"/>
    </font>
    <font>
      <b/>
      <sz val="12"/>
      <color theme="1"/>
      <name val="Calibri"/>
      <family val="2"/>
      <scheme val="minor"/>
    </font>
    <font>
      <b/>
      <sz val="12"/>
      <color theme="0"/>
      <name val="Calibri"/>
      <family val="2"/>
    </font>
    <font>
      <b/>
      <sz val="14"/>
      <color theme="0"/>
      <name val="Calibri"/>
      <family val="2"/>
    </font>
    <font>
      <sz val="14"/>
      <color theme="0"/>
      <name val="Calibri"/>
      <family val="2"/>
    </font>
    <font>
      <b/>
      <sz val="16"/>
      <color theme="0"/>
      <name val="Calibri"/>
      <family val="2"/>
    </font>
    <font>
      <sz val="16"/>
      <color theme="0"/>
      <name val="Calibri"/>
      <family val="2"/>
    </font>
    <font>
      <b/>
      <sz val="15"/>
      <color theme="0"/>
      <name val="Calibri"/>
      <family val="2"/>
    </font>
    <font>
      <b/>
      <sz val="11"/>
      <color theme="3" tint="-0.249977111117893"/>
      <name val="Calibri"/>
      <family val="2"/>
    </font>
    <font>
      <sz val="11"/>
      <color theme="3" tint="-0.249977111117893"/>
      <name val="Calibri"/>
      <family val="2"/>
    </font>
    <font>
      <b/>
      <sz val="18"/>
      <color theme="0"/>
      <name val="Calibri"/>
      <family val="2"/>
    </font>
    <font>
      <sz val="11"/>
      <color theme="4" tint="-0.499984740745262"/>
      <name val="Calibri"/>
      <family val="2"/>
    </font>
    <font>
      <sz val="11"/>
      <color theme="1"/>
      <name val="Arial"/>
      <family val="2"/>
    </font>
    <font>
      <sz val="11"/>
      <color theme="0"/>
      <name val="Calibri"/>
      <family val="2"/>
      <charset val="1"/>
    </font>
    <font>
      <b/>
      <sz val="11"/>
      <color theme="0"/>
      <name val="Calibri"/>
      <family val="2"/>
      <charset val="1"/>
    </font>
    <font>
      <b/>
      <sz val="11"/>
      <color theme="0"/>
      <name val="Arial"/>
      <family val="2"/>
    </font>
    <font>
      <b/>
      <sz val="11"/>
      <color theme="1"/>
      <name val="Calibri"/>
      <family val="2"/>
      <charset val="1"/>
    </font>
    <font>
      <b/>
      <sz val="11"/>
      <name val="Arial"/>
      <family val="2"/>
    </font>
    <font>
      <sz val="11"/>
      <name val="Calibri"/>
      <family val="2"/>
      <charset val="1"/>
    </font>
    <font>
      <sz val="11"/>
      <name val="Arial"/>
      <family val="2"/>
    </font>
    <font>
      <i/>
      <sz val="11"/>
      <color theme="1"/>
      <name val="Calibri"/>
      <family val="2"/>
    </font>
    <font>
      <i/>
      <sz val="11"/>
      <color theme="5" tint="-0.24994659260841701"/>
      <name val="Calibri"/>
      <family val="2"/>
    </font>
    <font>
      <sz val="11"/>
      <color theme="1"/>
      <name val="Calibri"/>
      <family val="2"/>
      <scheme val="minor"/>
    </font>
    <font>
      <sz val="10"/>
      <color rgb="FF000000"/>
      <name val="Calibri"/>
      <family val="2"/>
      <scheme val="minor"/>
    </font>
    <font>
      <sz val="10"/>
      <name val="Calibri"/>
      <family val="2"/>
      <scheme val="minor"/>
    </font>
    <font>
      <b/>
      <sz val="10"/>
      <color rgb="FF000000"/>
      <name val="Calibri"/>
      <family val="2"/>
      <scheme val="minor"/>
    </font>
    <font>
      <i/>
      <sz val="9"/>
      <color rgb="FFD32F2F"/>
      <name val="Calibri"/>
      <family val="2"/>
      <scheme val="minor"/>
    </font>
    <font>
      <b/>
      <sz val="14"/>
      <color theme="0"/>
      <name val="Calibri"/>
      <family val="2"/>
      <scheme val="minor"/>
    </font>
    <font>
      <sz val="16"/>
      <color theme="0"/>
      <name val="Calibri"/>
      <family val="2"/>
      <scheme val="minor"/>
    </font>
    <font>
      <b/>
      <sz val="14"/>
      <color theme="1"/>
      <name val="Calibri"/>
      <family val="2"/>
      <scheme val="minor"/>
    </font>
    <font>
      <b/>
      <sz val="14"/>
      <name val="Calibri"/>
      <family val="2"/>
      <scheme val="minor"/>
    </font>
    <font>
      <sz val="11"/>
      <name val="Calibri"/>
      <family val="2"/>
      <scheme val="minor"/>
    </font>
    <font>
      <b/>
      <sz val="14"/>
      <color rgb="FFFFFFFF"/>
      <name val="Calibri"/>
      <family val="2"/>
      <scheme val="minor"/>
    </font>
    <font>
      <sz val="14"/>
      <color theme="1"/>
      <name val="Calibri"/>
      <family val="2"/>
      <scheme val="minor"/>
    </font>
    <font>
      <i/>
      <sz val="10"/>
      <color rgb="FFD32F2F"/>
      <name val="Calibri"/>
      <family val="2"/>
      <scheme val="minor"/>
    </font>
    <font>
      <sz val="10"/>
      <color theme="3" tint="-0.249977111117893"/>
      <name val="Calibri"/>
      <family val="2"/>
      <scheme val="minor"/>
    </font>
    <font>
      <b/>
      <sz val="11"/>
      <color theme="1"/>
      <name val="Cambria"/>
      <family val="1"/>
      <scheme val="major"/>
    </font>
    <font>
      <sz val="11"/>
      <color theme="1"/>
      <name val="Cambria"/>
      <family val="1"/>
      <scheme val="major"/>
    </font>
    <font>
      <b/>
      <sz val="14"/>
      <color theme="1"/>
      <name val="Calibri"/>
      <family val="2"/>
    </font>
    <font>
      <sz val="9"/>
      <color theme="1"/>
      <name val="Segoe UI"/>
      <family val="2"/>
    </font>
    <font>
      <b/>
      <sz val="18"/>
      <color theme="1"/>
      <name val="Calibri"/>
      <family val="2"/>
    </font>
    <font>
      <sz val="12"/>
      <color theme="1"/>
      <name val="Calibri"/>
      <family val="2"/>
      <charset val="1"/>
      <scheme val="minor"/>
    </font>
    <font>
      <u/>
      <sz val="11"/>
      <color theme="4" tint="-0.249977111117893"/>
      <name val="Calibri"/>
      <family val="2"/>
      <charset val="1"/>
    </font>
    <font>
      <b/>
      <sz val="18"/>
      <color theme="0"/>
      <name val="Calibri"/>
      <family val="2"/>
      <scheme val="minor"/>
    </font>
    <font>
      <b/>
      <sz val="10"/>
      <color rgb="FF990000"/>
      <name val="Calibri"/>
      <family val="2"/>
    </font>
    <font>
      <u/>
      <sz val="10"/>
      <color theme="10"/>
      <name val="Calibri"/>
      <family val="2"/>
      <scheme val="minor"/>
    </font>
    <font>
      <sz val="10"/>
      <color theme="1"/>
      <name val="Calibri"/>
      <family val="2"/>
    </font>
    <font>
      <b/>
      <sz val="10"/>
      <color theme="0"/>
      <name val="Calibri"/>
      <family val="2"/>
      <scheme val="minor"/>
    </font>
    <font>
      <sz val="10"/>
      <color rgb="FF000000"/>
      <name val="Calibri"/>
      <family val="2"/>
    </font>
    <font>
      <b/>
      <sz val="10"/>
      <name val="Calibri"/>
      <family val="2"/>
      <scheme val="minor"/>
    </font>
    <font>
      <b/>
      <sz val="12"/>
      <name val="Calibri"/>
      <family val="2"/>
      <scheme val="minor"/>
    </font>
    <font>
      <b/>
      <sz val="11"/>
      <name val="Calibri"/>
      <family val="2"/>
      <scheme val="minor"/>
    </font>
    <font>
      <b/>
      <sz val="16"/>
      <name val="Calibri"/>
      <family val="2"/>
      <scheme val="minor"/>
    </font>
    <font>
      <b/>
      <sz val="11"/>
      <color theme="1"/>
      <name val="Calibri"/>
      <family val="2"/>
      <scheme val="minor"/>
    </font>
    <font>
      <sz val="11"/>
      <name val="Calibri"/>
      <family val="2"/>
    </font>
    <font>
      <sz val="11"/>
      <color theme="1"/>
      <name val="Calibri"/>
      <family val="2"/>
      <charset val="1"/>
    </font>
  </fonts>
  <fills count="13">
    <fill>
      <patternFill patternType="none"/>
    </fill>
    <fill>
      <patternFill patternType="gray125"/>
    </fill>
    <fill>
      <patternFill patternType="solid">
        <fgColor rgb="FFC00000"/>
        <bgColor indexed="64"/>
      </patternFill>
    </fill>
    <fill>
      <patternFill patternType="solid">
        <fgColor rgb="FF8E0000"/>
        <bgColor indexed="64"/>
      </patternFill>
    </fill>
    <fill>
      <patternFill patternType="solid">
        <fgColor theme="0"/>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5" tint="0.59999389629810485"/>
        <bgColor indexed="64"/>
      </patternFill>
    </fill>
    <fill>
      <patternFill patternType="solid">
        <fgColor rgb="FFF5F5F5"/>
      </patternFill>
    </fill>
    <fill>
      <patternFill patternType="solid">
        <fgColor rgb="FFFFFFFF"/>
      </patternFill>
    </fill>
    <fill>
      <patternFill patternType="solid">
        <fgColor rgb="FFE8F5E9"/>
      </patternFill>
    </fill>
    <fill>
      <patternFill patternType="solid">
        <fgColor rgb="FFC00000"/>
        <bgColor rgb="FF8E0000"/>
      </patternFill>
    </fill>
    <fill>
      <patternFill patternType="solid">
        <fgColor rgb="FFF2F7FB"/>
      </patternFill>
    </fill>
  </fills>
  <borders count="50">
    <border>
      <left/>
      <right/>
      <top/>
      <bottom/>
      <diagonal/>
    </border>
    <border>
      <left/>
      <right/>
      <top style="thin">
        <color indexed="64"/>
      </top>
      <bottom/>
      <diagonal/>
    </border>
    <border>
      <left style="thick">
        <color theme="0"/>
      </left>
      <right/>
      <top/>
      <bottom/>
      <diagonal/>
    </border>
    <border>
      <left/>
      <right/>
      <top style="thin">
        <color theme="1"/>
      </top>
      <bottom/>
      <diagonal/>
    </border>
    <border>
      <left/>
      <right/>
      <top style="thin">
        <color theme="1"/>
      </top>
      <bottom style="double">
        <color theme="1"/>
      </bottom>
      <diagonal/>
    </border>
    <border>
      <left/>
      <right/>
      <top style="thin">
        <color theme="1" tint="4.9989318521683403E-2"/>
      </top>
      <bottom/>
      <diagonal/>
    </border>
    <border>
      <left/>
      <right/>
      <top style="thin">
        <color theme="1" tint="4.9989318521683403E-2"/>
      </top>
      <bottom style="double">
        <color theme="1" tint="4.9989318521683403E-2"/>
      </bottom>
      <diagonal/>
    </border>
    <border>
      <left/>
      <right/>
      <top/>
      <bottom style="medium">
        <color theme="1"/>
      </bottom>
      <diagonal/>
    </border>
    <border>
      <left style="dotted">
        <color theme="1"/>
      </left>
      <right style="dotted">
        <color theme="1"/>
      </right>
      <top style="dotted">
        <color theme="1"/>
      </top>
      <bottom style="dotted">
        <color theme="1"/>
      </bottom>
      <diagonal/>
    </border>
    <border>
      <left style="dotted">
        <color auto="1"/>
      </left>
      <right/>
      <top/>
      <bottom style="thick">
        <color auto="1"/>
      </bottom>
      <diagonal/>
    </border>
    <border>
      <left style="dotted">
        <color auto="1"/>
      </left>
      <right style="dotted">
        <color auto="1"/>
      </right>
      <top style="dotted">
        <color auto="1"/>
      </top>
      <bottom style="thick">
        <color auto="1"/>
      </bottom>
      <diagonal/>
    </border>
    <border>
      <left/>
      <right/>
      <top/>
      <bottom style="thick">
        <color auto="1"/>
      </bottom>
      <diagonal/>
    </border>
    <border>
      <left style="thin">
        <color theme="1" tint="4.9989318521683403E-2"/>
      </left>
      <right style="thin">
        <color theme="1" tint="4.9989318521683403E-2"/>
      </right>
      <top style="thin">
        <color theme="1" tint="4.9989318521683403E-2"/>
      </top>
      <bottom style="thin">
        <color theme="1" tint="4.9989318521683403E-2"/>
      </bottom>
      <diagonal/>
    </border>
    <border>
      <left/>
      <right/>
      <top/>
      <bottom style="thin">
        <color theme="1"/>
      </bottom>
      <diagonal/>
    </border>
    <border>
      <left/>
      <right style="thin">
        <color theme="1"/>
      </right>
      <top/>
      <bottom/>
      <diagonal/>
    </border>
    <border>
      <left style="thin">
        <color theme="1"/>
      </left>
      <right style="thin">
        <color theme="1"/>
      </right>
      <top style="thin">
        <color theme="1"/>
      </top>
      <bottom style="thin">
        <color theme="1"/>
      </bottom>
      <diagonal/>
    </border>
    <border>
      <left style="thin">
        <color theme="1"/>
      </left>
      <right/>
      <top/>
      <bottom style="thin">
        <color theme="1"/>
      </bottom>
      <diagonal/>
    </border>
    <border>
      <left/>
      <right style="thin">
        <color theme="1"/>
      </right>
      <top/>
      <bottom style="thin">
        <color theme="1"/>
      </bottom>
      <diagonal/>
    </border>
    <border>
      <left style="thin">
        <color theme="1"/>
      </left>
      <right/>
      <top/>
      <bottom/>
      <diagonal/>
    </border>
    <border>
      <left/>
      <right style="thin">
        <color theme="1"/>
      </right>
      <top style="thin">
        <color theme="1"/>
      </top>
      <bottom style="thin">
        <color theme="1"/>
      </bottom>
      <diagonal/>
    </border>
    <border>
      <left style="thin">
        <color theme="1"/>
      </left>
      <right style="thin">
        <color theme="1"/>
      </right>
      <top/>
      <bottom/>
      <diagonal/>
    </border>
    <border>
      <left style="thin">
        <color theme="1"/>
      </left>
      <right style="thin">
        <color theme="1"/>
      </right>
      <top/>
      <bottom style="thin">
        <color theme="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style="thin">
        <color rgb="FFC00000"/>
      </right>
      <top/>
      <bottom style="thin">
        <color theme="1"/>
      </bottom>
      <diagonal/>
    </border>
    <border>
      <left style="thin">
        <color rgb="FFC00000"/>
      </left>
      <right style="thin">
        <color rgb="FFC00000"/>
      </right>
      <top/>
      <bottom style="thin">
        <color theme="1"/>
      </bottom>
      <diagonal/>
    </border>
    <border>
      <left style="thin">
        <color rgb="FFC00000"/>
      </left>
      <right style="thin">
        <color theme="1"/>
      </right>
      <top/>
      <bottom style="thin">
        <color theme="1"/>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auto="1"/>
      </top>
      <bottom style="double">
        <color auto="1"/>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5">
    <xf numFmtId="0" fontId="0" fillId="0" borderId="0"/>
    <xf numFmtId="9" fontId="4" fillId="0" borderId="0"/>
    <xf numFmtId="0" fontId="8" fillId="0" borderId="0" applyNumberFormat="0" applyFill="0" applyBorder="0" applyAlignment="0" applyProtection="0"/>
    <xf numFmtId="0" fontId="32" fillId="0" borderId="0"/>
    <xf numFmtId="44" fontId="65" fillId="0" borderId="0" applyFont="0" applyFill="0" applyBorder="0" applyAlignment="0" applyProtection="0"/>
  </cellStyleXfs>
  <cellXfs count="276">
    <xf numFmtId="0" fontId="0" fillId="0" borderId="0" xfId="0"/>
    <xf numFmtId="9" fontId="0" fillId="0" borderId="0" xfId="1" applyFont="1"/>
    <xf numFmtId="0" fontId="6" fillId="0" borderId="0" xfId="0" applyFont="1"/>
    <xf numFmtId="9" fontId="9" fillId="2" borderId="0" xfId="1" applyFont="1" applyFill="1"/>
    <xf numFmtId="9" fontId="7" fillId="2" borderId="0" xfId="1" applyFont="1" applyFill="1"/>
    <xf numFmtId="0" fontId="7" fillId="2" borderId="0" xfId="0" applyFont="1" applyFill="1"/>
    <xf numFmtId="0" fontId="5" fillId="2" borderId="0" xfId="0" applyFont="1" applyFill="1"/>
    <xf numFmtId="0" fontId="13" fillId="2" borderId="0" xfId="0" applyFont="1" applyFill="1" applyAlignment="1">
      <alignment horizontal="centerContinuous"/>
    </xf>
    <xf numFmtId="0" fontId="14" fillId="2" borderId="0" xfId="0" applyFont="1" applyFill="1" applyAlignment="1">
      <alignment horizontal="centerContinuous"/>
    </xf>
    <xf numFmtId="0" fontId="14" fillId="3" borderId="0" xfId="0" applyFont="1" applyFill="1" applyAlignment="1">
      <alignment horizontal="centerContinuous"/>
    </xf>
    <xf numFmtId="0" fontId="7" fillId="3" borderId="0" xfId="0" applyFont="1" applyFill="1"/>
    <xf numFmtId="0" fontId="13" fillId="3" borderId="2" xfId="0" applyFont="1" applyFill="1" applyBorder="1" applyAlignment="1">
      <alignment horizontal="centerContinuous"/>
    </xf>
    <xf numFmtId="9" fontId="17" fillId="2" borderId="0" xfId="1" applyFont="1" applyFill="1"/>
    <xf numFmtId="9" fontId="5" fillId="2" borderId="0" xfId="1" applyFont="1" applyFill="1"/>
    <xf numFmtId="0" fontId="5" fillId="3" borderId="2" xfId="0" applyFont="1" applyFill="1" applyBorder="1"/>
    <xf numFmtId="0" fontId="5" fillId="3" borderId="0" xfId="0" applyFont="1" applyFill="1"/>
    <xf numFmtId="9" fontId="6" fillId="0" borderId="0" xfId="1" applyFont="1"/>
    <xf numFmtId="0" fontId="0" fillId="0" borderId="3" xfId="0" applyBorder="1"/>
    <xf numFmtId="0" fontId="6" fillId="0" borderId="3" xfId="0" applyFont="1" applyBorder="1"/>
    <xf numFmtId="0" fontId="6" fillId="0" borderId="4" xfId="0" applyFont="1" applyBorder="1"/>
    <xf numFmtId="164" fontId="12" fillId="2" borderId="0" xfId="0" applyNumberFormat="1" applyFont="1" applyFill="1"/>
    <xf numFmtId="165" fontId="12" fillId="3" borderId="2" xfId="0" applyNumberFormat="1" applyFont="1" applyFill="1" applyBorder="1"/>
    <xf numFmtId="165" fontId="12" fillId="3" borderId="0" xfId="0" applyNumberFormat="1" applyFont="1" applyFill="1"/>
    <xf numFmtId="0" fontId="12" fillId="2" borderId="0" xfId="0" applyFont="1" applyFill="1"/>
    <xf numFmtId="0" fontId="3" fillId="0" borderId="0" xfId="0" applyFont="1"/>
    <xf numFmtId="0" fontId="6" fillId="0" borderId="5" xfId="0" applyFont="1" applyBorder="1"/>
    <xf numFmtId="0" fontId="0" fillId="0" borderId="5" xfId="0" applyBorder="1"/>
    <xf numFmtId="0" fontId="6" fillId="0" borderId="6" xfId="0" applyFont="1" applyBorder="1"/>
    <xf numFmtId="166" fontId="6" fillId="0" borderId="0" xfId="0" applyNumberFormat="1" applyFont="1"/>
    <xf numFmtId="166" fontId="0" fillId="0" borderId="0" xfId="0" applyNumberFormat="1"/>
    <xf numFmtId="0" fontId="0" fillId="0" borderId="6" xfId="0" applyBorder="1"/>
    <xf numFmtId="9" fontId="6" fillId="0" borderId="5" xfId="1" applyFont="1" applyBorder="1"/>
    <xf numFmtId="0" fontId="6" fillId="0" borderId="7" xfId="0" applyFont="1" applyBorder="1"/>
    <xf numFmtId="167" fontId="0" fillId="0" borderId="8" xfId="0" applyNumberFormat="1" applyBorder="1"/>
    <xf numFmtId="167" fontId="0" fillId="0" borderId="0" xfId="0" applyNumberFormat="1"/>
    <xf numFmtId="9" fontId="9" fillId="3" borderId="0" xfId="1" applyFont="1" applyFill="1"/>
    <xf numFmtId="9" fontId="0" fillId="0" borderId="0" xfId="0" applyNumberFormat="1"/>
    <xf numFmtId="2" fontId="0" fillId="0" borderId="0" xfId="0" applyNumberFormat="1"/>
    <xf numFmtId="0" fontId="6" fillId="0" borderId="10" xfId="0" applyFont="1" applyBorder="1"/>
    <xf numFmtId="0" fontId="6" fillId="0" borderId="9" xfId="0" applyFont="1" applyBorder="1"/>
    <xf numFmtId="0" fontId="0" fillId="0" borderId="11" xfId="0" applyBorder="1"/>
    <xf numFmtId="166" fontId="21" fillId="0" borderId="0" xfId="0" applyNumberFormat="1" applyFont="1"/>
    <xf numFmtId="168" fontId="6" fillId="0" borderId="0" xfId="0" applyNumberFormat="1" applyFont="1"/>
    <xf numFmtId="168" fontId="18" fillId="0" borderId="0" xfId="0" applyNumberFormat="1" applyFont="1"/>
    <xf numFmtId="168" fontId="19" fillId="0" borderId="0" xfId="0" applyNumberFormat="1" applyFont="1"/>
    <xf numFmtId="168" fontId="6" fillId="0" borderId="5" xfId="0" applyNumberFormat="1" applyFont="1" applyBorder="1"/>
    <xf numFmtId="168" fontId="0" fillId="0" borderId="0" xfId="0" applyNumberFormat="1"/>
    <xf numFmtId="168" fontId="6" fillId="0" borderId="6" xfId="0" applyNumberFormat="1" applyFont="1" applyBorder="1"/>
    <xf numFmtId="168" fontId="5" fillId="2" borderId="0" xfId="0" applyNumberFormat="1" applyFont="1" applyFill="1"/>
    <xf numFmtId="168" fontId="3" fillId="0" borderId="0" xfId="0" applyNumberFormat="1" applyFont="1"/>
    <xf numFmtId="0" fontId="22" fillId="4" borderId="0" xfId="0" applyFont="1" applyFill="1" applyAlignment="1">
      <alignment horizontal="left" vertical="center" indent="1"/>
    </xf>
    <xf numFmtId="10" fontId="0" fillId="0" borderId="0" xfId="0" applyNumberFormat="1"/>
    <xf numFmtId="0" fontId="27" fillId="4" borderId="0" xfId="0" applyFont="1" applyFill="1" applyAlignment="1">
      <alignment horizontal="left" vertical="center" indent="1"/>
    </xf>
    <xf numFmtId="0" fontId="28" fillId="0" borderId="0" xfId="0" applyFont="1"/>
    <xf numFmtId="0" fontId="29" fillId="4" borderId="0" xfId="0" applyFont="1" applyFill="1" applyAlignment="1">
      <alignment horizontal="left" vertical="center" indent="1"/>
    </xf>
    <xf numFmtId="0" fontId="7" fillId="4" borderId="0" xfId="0" applyFont="1" applyFill="1"/>
    <xf numFmtId="0" fontId="0" fillId="4" borderId="0" xfId="0" applyFill="1"/>
    <xf numFmtId="14" fontId="0" fillId="0" borderId="0" xfId="0" applyNumberFormat="1"/>
    <xf numFmtId="0" fontId="0" fillId="0" borderId="12" xfId="0" applyBorder="1"/>
    <xf numFmtId="9" fontId="0" fillId="0" borderId="12" xfId="0" applyNumberFormat="1" applyBorder="1"/>
    <xf numFmtId="8" fontId="0" fillId="0" borderId="0" xfId="0" applyNumberFormat="1"/>
    <xf numFmtId="9" fontId="20" fillId="2" borderId="0" xfId="1" applyFont="1" applyFill="1"/>
    <xf numFmtId="0" fontId="0" fillId="3" borderId="0" xfId="0" applyFill="1"/>
    <xf numFmtId="0" fontId="6" fillId="0" borderId="13" xfId="0" applyFont="1" applyBorder="1"/>
    <xf numFmtId="169" fontId="0" fillId="0" borderId="0" xfId="0" applyNumberFormat="1"/>
    <xf numFmtId="14" fontId="30" fillId="0" borderId="0" xfId="0" applyNumberFormat="1" applyFont="1"/>
    <xf numFmtId="170" fontId="0" fillId="0" borderId="3" xfId="0" applyNumberFormat="1" applyBorder="1"/>
    <xf numFmtId="2" fontId="30" fillId="0" borderId="0" xfId="0" applyNumberFormat="1" applyFont="1"/>
    <xf numFmtId="2" fontId="31" fillId="0" borderId="0" xfId="0" applyNumberFormat="1" applyFont="1"/>
    <xf numFmtId="170" fontId="6" fillId="0" borderId="3" xfId="0" applyNumberFormat="1" applyFont="1" applyBorder="1"/>
    <xf numFmtId="0" fontId="0" fillId="0" borderId="13" xfId="0" applyBorder="1"/>
    <xf numFmtId="166" fontId="0" fillId="0" borderId="13" xfId="0" applyNumberFormat="1" applyBorder="1"/>
    <xf numFmtId="8" fontId="0" fillId="0" borderId="3" xfId="0" applyNumberFormat="1" applyBorder="1"/>
    <xf numFmtId="0" fontId="6" fillId="0" borderId="13" xfId="0" applyFont="1" applyBorder="1" applyAlignment="1">
      <alignment horizontal="centerContinuous"/>
    </xf>
    <xf numFmtId="0" fontId="0" fillId="0" borderId="13" xfId="0" applyBorder="1" applyAlignment="1">
      <alignment horizontal="centerContinuous"/>
    </xf>
    <xf numFmtId="0" fontId="6" fillId="0" borderId="14" xfId="0" applyFont="1" applyBorder="1"/>
    <xf numFmtId="171" fontId="6" fillId="0" borderId="0" xfId="0" applyNumberFormat="1" applyFont="1"/>
    <xf numFmtId="10" fontId="6" fillId="0" borderId="14" xfId="0" applyNumberFormat="1" applyFont="1" applyBorder="1"/>
    <xf numFmtId="0" fontId="0" fillId="5" borderId="0" xfId="0" applyFill="1"/>
    <xf numFmtId="0" fontId="0" fillId="6" borderId="0" xfId="0" applyFill="1"/>
    <xf numFmtId="167" fontId="6" fillId="0" borderId="0" xfId="0" applyNumberFormat="1" applyFont="1"/>
    <xf numFmtId="0" fontId="0" fillId="0" borderId="0" xfId="0" applyAlignment="1">
      <alignment wrapText="1"/>
    </xf>
    <xf numFmtId="9" fontId="15" fillId="3" borderId="0" xfId="1" applyFont="1" applyFill="1"/>
    <xf numFmtId="9" fontId="16" fillId="3" borderId="0" xfId="1" applyFont="1" applyFill="1"/>
    <xf numFmtId="0" fontId="16" fillId="3" borderId="0" xfId="0" applyFont="1" applyFill="1"/>
    <xf numFmtId="0" fontId="6" fillId="0" borderId="0" xfId="0" applyFont="1" applyAlignment="1">
      <alignment horizontal="center"/>
    </xf>
    <xf numFmtId="0" fontId="6" fillId="0" borderId="13" xfId="0" applyFont="1" applyBorder="1" applyAlignment="1">
      <alignment horizontal="center"/>
    </xf>
    <xf numFmtId="9" fontId="0" fillId="0" borderId="3" xfId="1" applyFont="1" applyBorder="1"/>
    <xf numFmtId="10" fontId="0" fillId="0" borderId="3" xfId="0" applyNumberFormat="1" applyBorder="1"/>
    <xf numFmtId="10" fontId="6" fillId="0" borderId="4" xfId="0" applyNumberFormat="1" applyFont="1" applyBorder="1"/>
    <xf numFmtId="0" fontId="6" fillId="7" borderId="0" xfId="0" applyFont="1" applyFill="1"/>
    <xf numFmtId="8" fontId="0" fillId="7" borderId="0" xfId="0" applyNumberFormat="1" applyFill="1"/>
    <xf numFmtId="10" fontId="0" fillId="7" borderId="0" xfId="0" applyNumberFormat="1" applyFill="1"/>
    <xf numFmtId="2" fontId="0" fillId="7" borderId="0" xfId="0" applyNumberFormat="1" applyFill="1"/>
    <xf numFmtId="9" fontId="6" fillId="7" borderId="0" xfId="1" applyFont="1" applyFill="1"/>
    <xf numFmtId="9" fontId="0" fillId="7" borderId="0" xfId="1" applyFont="1" applyFill="1"/>
    <xf numFmtId="0" fontId="0" fillId="7" borderId="0" xfId="0" applyFill="1"/>
    <xf numFmtId="9" fontId="15" fillId="2" borderId="0" xfId="1" applyFont="1" applyFill="1"/>
    <xf numFmtId="9" fontId="16" fillId="2" borderId="0" xfId="1" applyFont="1" applyFill="1"/>
    <xf numFmtId="0" fontId="16" fillId="2" borderId="0" xfId="0" applyFont="1" applyFill="1"/>
    <xf numFmtId="0" fontId="12" fillId="2" borderId="0" xfId="0" applyFont="1" applyFill="1" applyAlignment="1">
      <alignment horizontal="centerContinuous" vertical="center"/>
    </xf>
    <xf numFmtId="166" fontId="6" fillId="0" borderId="3" xfId="0" applyNumberFormat="1" applyFont="1" applyBorder="1"/>
    <xf numFmtId="170" fontId="6" fillId="0" borderId="0" xfId="0" applyNumberFormat="1" applyFont="1"/>
    <xf numFmtId="0" fontId="6" fillId="0" borderId="12" xfId="0" applyFont="1" applyBorder="1"/>
    <xf numFmtId="172" fontId="6" fillId="0" borderId="12" xfId="0" applyNumberFormat="1" applyFont="1" applyBorder="1"/>
    <xf numFmtId="2" fontId="6" fillId="0" borderId="0" xfId="0" applyNumberFormat="1" applyFont="1"/>
    <xf numFmtId="11" fontId="0" fillId="0" borderId="0" xfId="0" applyNumberFormat="1"/>
    <xf numFmtId="168" fontId="0" fillId="0" borderId="13" xfId="0" applyNumberFormat="1" applyBorder="1"/>
    <xf numFmtId="9" fontId="4" fillId="0" borderId="0" xfId="1"/>
    <xf numFmtId="0" fontId="23" fillId="2" borderId="0" xfId="0" applyFont="1" applyFill="1"/>
    <xf numFmtId="2" fontId="23" fillId="2" borderId="0" xfId="0" applyNumberFormat="1" applyFont="1" applyFill="1"/>
    <xf numFmtId="0" fontId="5" fillId="2" borderId="0" xfId="0" applyFont="1" applyFill="1" applyAlignment="1">
      <alignment horizontal="center" vertical="top"/>
    </xf>
    <xf numFmtId="0" fontId="5" fillId="2" borderId="12" xfId="0" applyFont="1" applyFill="1" applyBorder="1"/>
    <xf numFmtId="0" fontId="32" fillId="0" borderId="0" xfId="0" applyFont="1"/>
    <xf numFmtId="0" fontId="33" fillId="8" borderId="20" xfId="0" applyFont="1" applyFill="1" applyBorder="1" applyAlignment="1">
      <alignment horizontal="left" vertical="center" wrapText="1"/>
    </xf>
    <xf numFmtId="0" fontId="34" fillId="8" borderId="14" xfId="0" applyFont="1" applyFill="1" applyBorder="1" applyAlignment="1">
      <alignment horizontal="center" vertical="center" wrapText="1"/>
    </xf>
    <xf numFmtId="0" fontId="33" fillId="9" borderId="20" xfId="0" applyFont="1" applyFill="1" applyBorder="1" applyAlignment="1">
      <alignment horizontal="left" vertical="center" wrapText="1"/>
    </xf>
    <xf numFmtId="0" fontId="34" fillId="9" borderId="14" xfId="0" applyFont="1" applyFill="1" applyBorder="1" applyAlignment="1">
      <alignment horizontal="center" vertical="center" wrapText="1"/>
    </xf>
    <xf numFmtId="0" fontId="39" fillId="0" borderId="16" xfId="0" applyFont="1" applyBorder="1"/>
    <xf numFmtId="0" fontId="40" fillId="4" borderId="17" xfId="0" applyFont="1" applyFill="1" applyBorder="1"/>
    <xf numFmtId="0" fontId="41" fillId="4" borderId="0" xfId="0" applyFont="1" applyFill="1"/>
    <xf numFmtId="0" fontId="34" fillId="4" borderId="18" xfId="0" applyFont="1" applyFill="1" applyBorder="1" applyAlignment="1">
      <alignment horizontal="left" vertical="center" wrapText="1"/>
    </xf>
    <xf numFmtId="3" fontId="34" fillId="4" borderId="14" xfId="0" applyNumberFormat="1" applyFont="1" applyFill="1" applyBorder="1" applyAlignment="1">
      <alignment horizontal="center" vertical="center" wrapText="1"/>
    </xf>
    <xf numFmtId="0" fontId="34" fillId="4" borderId="14" xfId="0" applyFont="1" applyFill="1" applyBorder="1" applyAlignment="1">
      <alignment horizontal="center" vertical="center" wrapText="1"/>
    </xf>
    <xf numFmtId="0" fontId="42" fillId="2" borderId="15" xfId="0" applyFont="1" applyFill="1" applyBorder="1" applyAlignment="1">
      <alignment vertical="center" wrapText="1"/>
    </xf>
    <xf numFmtId="0" fontId="42" fillId="2" borderId="19" xfId="0" applyFont="1" applyFill="1" applyBorder="1" applyAlignment="1">
      <alignment vertical="center" wrapText="1"/>
    </xf>
    <xf numFmtId="0" fontId="42" fillId="11" borderId="14" xfId="0" applyFont="1" applyFill="1" applyBorder="1" applyAlignment="1">
      <alignment horizontal="center" vertical="center" wrapText="1"/>
    </xf>
    <xf numFmtId="0" fontId="44" fillId="9" borderId="14" xfId="0" applyFont="1" applyFill="1" applyBorder="1" applyAlignment="1">
      <alignment horizontal="center" vertical="center" wrapText="1"/>
    </xf>
    <xf numFmtId="0" fontId="33" fillId="8" borderId="14" xfId="0" applyFont="1" applyFill="1" applyBorder="1" applyAlignment="1">
      <alignment horizontal="center" vertical="center" wrapText="1"/>
    </xf>
    <xf numFmtId="0" fontId="33" fillId="9" borderId="14" xfId="0" applyFont="1" applyFill="1" applyBorder="1" applyAlignment="1">
      <alignment horizontal="center" vertical="center" wrapText="1"/>
    </xf>
    <xf numFmtId="0" fontId="33" fillId="8" borderId="17" xfId="0" applyFont="1" applyFill="1" applyBorder="1" applyAlignment="1">
      <alignment horizontal="center" vertical="center" wrapText="1"/>
    </xf>
    <xf numFmtId="0" fontId="42" fillId="11" borderId="20" xfId="0" applyFont="1" applyFill="1" applyBorder="1" applyAlignment="1">
      <alignment horizontal="center" vertical="center" wrapText="1"/>
    </xf>
    <xf numFmtId="0" fontId="33" fillId="8" borderId="21" xfId="0" applyFont="1" applyFill="1" applyBorder="1" applyAlignment="1">
      <alignment horizontal="left" vertical="center" wrapText="1"/>
    </xf>
    <xf numFmtId="0" fontId="40" fillId="4" borderId="15" xfId="0" applyFont="1" applyFill="1" applyBorder="1" applyAlignment="1">
      <alignment horizontal="center" vertical="center" wrapText="1"/>
    </xf>
    <xf numFmtId="0" fontId="34" fillId="4" borderId="20" xfId="0" applyFont="1" applyFill="1" applyBorder="1" applyAlignment="1">
      <alignment horizontal="center" vertical="center" wrapText="1"/>
    </xf>
    <xf numFmtId="8" fontId="34" fillId="4" borderId="14" xfId="0" applyNumberFormat="1" applyFont="1" applyFill="1" applyBorder="1" applyAlignment="1">
      <alignment horizontal="center" vertical="center" wrapText="1"/>
    </xf>
    <xf numFmtId="10" fontId="45" fillId="8" borderId="14" xfId="0" applyNumberFormat="1" applyFont="1" applyFill="1" applyBorder="1" applyAlignment="1">
      <alignment horizontal="center" vertical="center" wrapText="1"/>
    </xf>
    <xf numFmtId="10" fontId="45" fillId="9" borderId="14" xfId="0" applyNumberFormat="1" applyFont="1" applyFill="1" applyBorder="1" applyAlignment="1">
      <alignment horizontal="center" vertical="center" wrapText="1"/>
    </xf>
    <xf numFmtId="2" fontId="45" fillId="8" borderId="14" xfId="0" applyNumberFormat="1" applyFont="1" applyFill="1" applyBorder="1" applyAlignment="1">
      <alignment horizontal="center" vertical="center" wrapText="1"/>
    </xf>
    <xf numFmtId="2" fontId="45" fillId="9" borderId="14" xfId="0" applyNumberFormat="1" applyFont="1" applyFill="1" applyBorder="1" applyAlignment="1">
      <alignment horizontal="center" vertical="center" wrapText="1"/>
    </xf>
    <xf numFmtId="0" fontId="45" fillId="8" borderId="14" xfId="0" applyFont="1" applyFill="1" applyBorder="1" applyAlignment="1">
      <alignment horizontal="center" vertical="center" wrapText="1"/>
    </xf>
    <xf numFmtId="9" fontId="45" fillId="8" borderId="17" xfId="0" applyNumberFormat="1" applyFont="1" applyFill="1" applyBorder="1" applyAlignment="1">
      <alignment horizontal="center" vertical="center" wrapText="1"/>
    </xf>
    <xf numFmtId="0" fontId="24" fillId="2" borderId="0" xfId="0" applyFont="1" applyFill="1" applyAlignment="1">
      <alignment vertical="center"/>
    </xf>
    <xf numFmtId="0" fontId="24" fillId="2" borderId="0" xfId="0" applyFont="1" applyFill="1" applyAlignment="1">
      <alignment vertical="center" wrapText="1"/>
    </xf>
    <xf numFmtId="0" fontId="25" fillId="2" borderId="0" xfId="0" applyFont="1" applyFill="1" applyAlignment="1">
      <alignment horizontal="center" vertical="center"/>
    </xf>
    <xf numFmtId="0" fontId="25" fillId="2" borderId="0" xfId="0" applyFont="1" applyFill="1" applyAlignment="1">
      <alignment horizontal="center" vertical="center" wrapText="1"/>
    </xf>
    <xf numFmtId="4" fontId="0" fillId="0" borderId="0" xfId="0" applyNumberFormat="1"/>
    <xf numFmtId="0" fontId="49" fillId="0" borderId="0" xfId="0" applyFont="1"/>
    <xf numFmtId="0" fontId="49" fillId="0" borderId="0" xfId="0" applyFont="1" applyAlignment="1">
      <alignment vertical="center"/>
    </xf>
    <xf numFmtId="0" fontId="0" fillId="0" borderId="0" xfId="0" applyAlignment="1">
      <alignment vertical="center" wrapText="1"/>
    </xf>
    <xf numFmtId="0" fontId="36" fillId="0" borderId="0" xfId="0" applyFont="1" applyAlignment="1">
      <alignment horizontal="left" vertical="center" wrapText="1"/>
    </xf>
    <xf numFmtId="173" fontId="0" fillId="0" borderId="0" xfId="0" applyNumberFormat="1"/>
    <xf numFmtId="0" fontId="50" fillId="0" borderId="0" xfId="0" applyFont="1"/>
    <xf numFmtId="0" fontId="51" fillId="0" borderId="0" xfId="0" applyFont="1"/>
    <xf numFmtId="8" fontId="19" fillId="0" borderId="0" xfId="0" applyNumberFormat="1" applyFont="1"/>
    <xf numFmtId="0" fontId="26" fillId="0" borderId="0" xfId="0" applyFont="1" applyAlignment="1">
      <alignment horizontal="center" vertical="center" wrapText="1"/>
    </xf>
    <xf numFmtId="0" fontId="52" fillId="0" borderId="0" xfId="2" applyFont="1" applyAlignment="1">
      <alignment vertical="center" wrapText="1"/>
    </xf>
    <xf numFmtId="0" fontId="35" fillId="10" borderId="20" xfId="0" applyFont="1" applyFill="1" applyBorder="1" applyAlignment="1">
      <alignment horizontal="left" vertical="center" wrapText="1"/>
    </xf>
    <xf numFmtId="0" fontId="34" fillId="0" borderId="14" xfId="0" applyFont="1" applyBorder="1" applyAlignment="1">
      <alignment horizontal="center" vertical="center"/>
    </xf>
    <xf numFmtId="0" fontId="37" fillId="2" borderId="26" xfId="0" applyFont="1" applyFill="1" applyBorder="1" applyAlignment="1">
      <alignment horizontal="centerContinuous" vertical="center" wrapText="1"/>
    </xf>
    <xf numFmtId="0" fontId="38" fillId="2" borderId="27" xfId="0" applyFont="1" applyFill="1" applyBorder="1" applyAlignment="1">
      <alignment horizontal="centerContinuous"/>
    </xf>
    <xf numFmtId="0" fontId="38" fillId="2" borderId="28" xfId="0" applyFont="1" applyFill="1" applyBorder="1" applyAlignment="1">
      <alignment horizontal="centerContinuous"/>
    </xf>
    <xf numFmtId="0" fontId="42" fillId="11" borderId="21" xfId="0" applyFont="1" applyFill="1" applyBorder="1" applyAlignment="1">
      <alignment horizontal="centerContinuous" vertical="center" wrapText="1"/>
    </xf>
    <xf numFmtId="0" fontId="43" fillId="11" borderId="21" xfId="0" applyFont="1" applyFill="1" applyBorder="1" applyAlignment="1">
      <alignment horizontal="centerContinuous"/>
    </xf>
    <xf numFmtId="0" fontId="35" fillId="0" borderId="1" xfId="0" applyFont="1" applyBorder="1" applyAlignment="1">
      <alignment horizontal="left" vertical="center" wrapText="1"/>
    </xf>
    <xf numFmtId="0" fontId="34" fillId="0" borderId="1" xfId="0" applyFont="1" applyBorder="1" applyAlignment="1">
      <alignment horizontal="center" vertical="center"/>
    </xf>
    <xf numFmtId="0" fontId="33" fillId="0" borderId="1" xfId="0" applyFont="1" applyBorder="1" applyAlignment="1">
      <alignment horizontal="left" vertical="top" wrapText="1"/>
    </xf>
    <xf numFmtId="0" fontId="0" fillId="0" borderId="1" xfId="0" applyBorder="1"/>
    <xf numFmtId="0" fontId="0" fillId="0" borderId="29" xfId="0" applyBorder="1"/>
    <xf numFmtId="0" fontId="0" fillId="0" borderId="30" xfId="0" applyBorder="1"/>
    <xf numFmtId="0" fontId="0" fillId="0" borderId="31" xfId="0" applyBorder="1"/>
    <xf numFmtId="0" fontId="0" fillId="0" borderId="32" xfId="0" applyBorder="1"/>
    <xf numFmtId="0" fontId="48" fillId="0" borderId="33" xfId="0" applyFont="1" applyBorder="1"/>
    <xf numFmtId="0" fontId="46" fillId="0" borderId="34" xfId="0" applyFont="1" applyBorder="1" applyAlignment="1">
      <alignment vertical="center"/>
    </xf>
    <xf numFmtId="0" fontId="47" fillId="0" borderId="34" xfId="0" applyFont="1" applyBorder="1" applyAlignment="1">
      <alignment vertical="center"/>
    </xf>
    <xf numFmtId="0" fontId="47" fillId="4" borderId="34" xfId="0" applyFont="1" applyFill="1" applyBorder="1" applyAlignment="1">
      <alignment vertical="center"/>
    </xf>
    <xf numFmtId="0" fontId="46" fillId="4" borderId="34" xfId="0" applyFont="1" applyFill="1" applyBorder="1" applyAlignment="1">
      <alignment vertical="center"/>
    </xf>
    <xf numFmtId="0" fontId="0" fillId="0" borderId="24" xfId="0" applyBorder="1"/>
    <xf numFmtId="10" fontId="0" fillId="0" borderId="24" xfId="0" applyNumberFormat="1" applyBorder="1" applyAlignment="1">
      <alignment horizontal="center" vertical="center"/>
    </xf>
    <xf numFmtId="0" fontId="0" fillId="0" borderId="24" xfId="0" applyBorder="1" applyAlignment="1">
      <alignment horizontal="center" vertical="center"/>
    </xf>
    <xf numFmtId="9" fontId="0" fillId="0" borderId="24" xfId="0" applyNumberFormat="1" applyBorder="1" applyAlignment="1">
      <alignment horizontal="center" vertical="center"/>
    </xf>
    <xf numFmtId="2" fontId="0" fillId="0" borderId="24" xfId="0" applyNumberFormat="1" applyBorder="1" applyAlignment="1">
      <alignment horizontal="center" vertical="center"/>
    </xf>
    <xf numFmtId="0" fontId="47" fillId="0" borderId="35" xfId="0" applyFont="1" applyBorder="1" applyAlignment="1">
      <alignment vertical="center"/>
    </xf>
    <xf numFmtId="0" fontId="0" fillId="0" borderId="36" xfId="0" applyBorder="1"/>
    <xf numFmtId="0" fontId="46" fillId="0" borderId="35" xfId="0" applyFont="1" applyBorder="1" applyAlignment="1">
      <alignment vertical="center"/>
    </xf>
    <xf numFmtId="0" fontId="47" fillId="4" borderId="35" xfId="0" applyFont="1" applyFill="1" applyBorder="1" applyAlignment="1">
      <alignment vertical="center"/>
    </xf>
    <xf numFmtId="0" fontId="47" fillId="4" borderId="37" xfId="0" applyFont="1" applyFill="1" applyBorder="1" applyAlignment="1">
      <alignment vertical="center"/>
    </xf>
    <xf numFmtId="0" fontId="0" fillId="0" borderId="38" xfId="0" applyBorder="1"/>
    <xf numFmtId="9" fontId="0" fillId="0" borderId="38" xfId="0" applyNumberFormat="1" applyBorder="1" applyAlignment="1">
      <alignment horizontal="center" vertical="center"/>
    </xf>
    <xf numFmtId="0" fontId="0" fillId="0" borderId="39" xfId="0" applyBorder="1"/>
    <xf numFmtId="0" fontId="0" fillId="0" borderId="0" xfId="0" applyAlignment="1">
      <alignment horizontal="left" vertical="center" wrapText="1"/>
    </xf>
    <xf numFmtId="0" fontId="26" fillId="0" borderId="0" xfId="0" applyFont="1" applyAlignment="1">
      <alignment horizontal="left" vertical="center" wrapText="1"/>
    </xf>
    <xf numFmtId="0" fontId="37" fillId="2" borderId="40" xfId="0" applyFont="1" applyFill="1" applyBorder="1" applyAlignment="1">
      <alignment horizontal="centerContinuous" vertical="center" wrapText="1"/>
    </xf>
    <xf numFmtId="0" fontId="54" fillId="9" borderId="42" xfId="0" applyFont="1" applyFill="1" applyBorder="1" applyAlignment="1">
      <alignment horizontal="left" vertical="center" wrapText="1"/>
    </xf>
    <xf numFmtId="0" fontId="54" fillId="12" borderId="42" xfId="0" applyFont="1" applyFill="1" applyBorder="1" applyAlignment="1">
      <alignment horizontal="left" vertical="center" wrapText="1"/>
    </xf>
    <xf numFmtId="0" fontId="54" fillId="9" borderId="44" xfId="0" applyFont="1" applyFill="1" applyBorder="1" applyAlignment="1">
      <alignment horizontal="left" vertical="center" wrapText="1"/>
    </xf>
    <xf numFmtId="0" fontId="55" fillId="8" borderId="14" xfId="2" applyFont="1" applyFill="1" applyBorder="1" applyAlignment="1">
      <alignment horizontal="center" vertical="center" wrapText="1"/>
    </xf>
    <xf numFmtId="0" fontId="56" fillId="0" borderId="0" xfId="0" applyFont="1"/>
    <xf numFmtId="0" fontId="34" fillId="0" borderId="0" xfId="0" applyFont="1" applyAlignment="1">
      <alignment horizontal="left" vertical="center" wrapText="1"/>
    </xf>
    <xf numFmtId="0" fontId="34" fillId="0" borderId="0" xfId="0" applyFont="1" applyAlignment="1">
      <alignment horizontal="center" vertical="center" wrapText="1"/>
    </xf>
    <xf numFmtId="8" fontId="34" fillId="0" borderId="0" xfId="0" applyNumberFormat="1" applyFont="1" applyAlignment="1">
      <alignment horizontal="center" vertical="center" wrapText="1"/>
    </xf>
    <xf numFmtId="0" fontId="42" fillId="11" borderId="20" xfId="0" applyFont="1" applyFill="1" applyBorder="1" applyAlignment="1">
      <alignment horizontal="centerContinuous" vertical="center" wrapText="1"/>
    </xf>
    <xf numFmtId="0" fontId="43" fillId="11" borderId="14" xfId="0" applyFont="1" applyFill="1" applyBorder="1" applyAlignment="1">
      <alignment horizontal="centerContinuous"/>
    </xf>
    <xf numFmtId="0" fontId="60" fillId="0" borderId="23" xfId="0" applyFont="1" applyBorder="1" applyAlignment="1">
      <alignment vertical="center" wrapText="1"/>
    </xf>
    <xf numFmtId="0" fontId="0" fillId="0" borderId="22" xfId="0" applyBorder="1"/>
    <xf numFmtId="0" fontId="0" fillId="0" borderId="22" xfId="0" applyBorder="1" applyAlignment="1">
      <alignment horizontal="left" vertical="top"/>
    </xf>
    <xf numFmtId="0" fontId="46" fillId="4" borderId="35" xfId="0" applyFont="1" applyFill="1" applyBorder="1" applyAlignment="1">
      <alignment vertical="center"/>
    </xf>
    <xf numFmtId="0" fontId="0" fillId="0" borderId="0" xfId="0" applyAlignment="1">
      <alignment horizontal="center" vertical="center"/>
    </xf>
    <xf numFmtId="10" fontId="0" fillId="0" borderId="0" xfId="0" applyNumberFormat="1" applyAlignment="1">
      <alignment horizontal="center" vertical="center"/>
    </xf>
    <xf numFmtId="9" fontId="0" fillId="0" borderId="0" xfId="0" applyNumberFormat="1" applyAlignment="1">
      <alignment horizontal="center" vertical="center"/>
    </xf>
    <xf numFmtId="2" fontId="0" fillId="0" borderId="0" xfId="0" applyNumberFormat="1" applyAlignment="1">
      <alignment horizontal="center" vertical="center"/>
    </xf>
    <xf numFmtId="0" fontId="0" fillId="0" borderId="22" xfId="0" applyBorder="1" applyAlignment="1">
      <alignment vertical="center" wrapText="1"/>
    </xf>
    <xf numFmtId="0" fontId="0" fillId="0" borderId="22" xfId="0" applyBorder="1" applyAlignment="1">
      <alignment horizontal="left" vertical="center" wrapText="1"/>
    </xf>
    <xf numFmtId="0" fontId="0" fillId="0" borderId="22" xfId="0" applyBorder="1" applyAlignment="1">
      <alignment horizontal="left" vertical="top" wrapText="1"/>
    </xf>
    <xf numFmtId="0" fontId="0" fillId="0" borderId="22" xfId="0" applyBorder="1" applyAlignment="1">
      <alignment wrapText="1"/>
    </xf>
    <xf numFmtId="168" fontId="0" fillId="0" borderId="12" xfId="0" applyNumberFormat="1" applyBorder="1"/>
    <xf numFmtId="0" fontId="8" fillId="0" borderId="0" xfId="2" applyAlignment="1">
      <alignment vertical="center" wrapText="1"/>
    </xf>
    <xf numFmtId="9" fontId="10" fillId="2" borderId="0" xfId="1" applyFont="1" applyFill="1"/>
    <xf numFmtId="0" fontId="11" fillId="0" borderId="0" xfId="0" applyFont="1"/>
    <xf numFmtId="174" fontId="0" fillId="0" borderId="0" xfId="0" applyNumberFormat="1"/>
    <xf numFmtId="0" fontId="26" fillId="0" borderId="0" xfId="0" applyFont="1"/>
    <xf numFmtId="9" fontId="63" fillId="0" borderId="0" xfId="1" applyFont="1"/>
    <xf numFmtId="0" fontId="63" fillId="0" borderId="0" xfId="0" applyFont="1"/>
    <xf numFmtId="9" fontId="32" fillId="0" borderId="0" xfId="1" applyFont="1"/>
    <xf numFmtId="0" fontId="59" fillId="0" borderId="0" xfId="3" applyFont="1" applyAlignment="1">
      <alignment vertical="center" wrapText="1"/>
    </xf>
    <xf numFmtId="0" fontId="59" fillId="0" borderId="0" xfId="3" applyFont="1"/>
    <xf numFmtId="174" fontId="34" fillId="0" borderId="0" xfId="0" applyNumberFormat="1" applyFont="1" applyAlignment="1">
      <alignment horizontal="right" vertical="center"/>
    </xf>
    <xf numFmtId="0" fontId="34" fillId="0" borderId="0" xfId="3" applyFont="1"/>
    <xf numFmtId="0" fontId="59" fillId="0" borderId="1" xfId="3" applyFont="1" applyBorder="1"/>
    <xf numFmtId="0" fontId="63" fillId="0" borderId="1" xfId="0" applyFont="1" applyBorder="1"/>
    <xf numFmtId="174" fontId="59" fillId="0" borderId="1" xfId="0" applyNumberFormat="1" applyFont="1" applyBorder="1" applyAlignment="1">
      <alignment horizontal="right" vertical="center"/>
    </xf>
    <xf numFmtId="174" fontId="59" fillId="0" borderId="0" xfId="0" applyNumberFormat="1" applyFont="1" applyAlignment="1">
      <alignment horizontal="right" vertical="center"/>
    </xf>
    <xf numFmtId="0" fontId="59" fillId="0" borderId="46" xfId="3" applyFont="1" applyBorder="1"/>
    <xf numFmtId="0" fontId="63" fillId="0" borderId="46" xfId="0" applyFont="1" applyBorder="1"/>
    <xf numFmtId="174" fontId="59" fillId="0" borderId="46" xfId="0" applyNumberFormat="1" applyFont="1" applyBorder="1" applyAlignment="1">
      <alignment horizontal="right" vertical="center"/>
    </xf>
    <xf numFmtId="0" fontId="59" fillId="0" borderId="0" xfId="3" applyFont="1" applyAlignment="1">
      <alignment wrapText="1"/>
    </xf>
    <xf numFmtId="0" fontId="34" fillId="0" borderId="0" xfId="3" applyFont="1" applyAlignment="1">
      <alignment wrapText="1"/>
    </xf>
    <xf numFmtId="0" fontId="59" fillId="0" borderId="1" xfId="3" applyFont="1" applyBorder="1" applyAlignment="1">
      <alignment wrapText="1"/>
    </xf>
    <xf numFmtId="0" fontId="59" fillId="0" borderId="46" xfId="3" applyFont="1" applyBorder="1" applyAlignment="1">
      <alignment wrapText="1"/>
    </xf>
    <xf numFmtId="0" fontId="32" fillId="0" borderId="1" xfId="0" applyFont="1" applyBorder="1"/>
    <xf numFmtId="0" fontId="34" fillId="0" borderId="0" xfId="0" applyFont="1" applyAlignment="1">
      <alignment horizontal="left" vertical="center"/>
    </xf>
    <xf numFmtId="0" fontId="32" fillId="0" borderId="46" xfId="0" applyFont="1" applyBorder="1"/>
    <xf numFmtId="174" fontId="34" fillId="0" borderId="46" xfId="0" applyNumberFormat="1" applyFont="1" applyBorder="1" applyAlignment="1">
      <alignment horizontal="right" vertical="center"/>
    </xf>
    <xf numFmtId="0" fontId="34" fillId="0" borderId="0" xfId="0" applyFont="1" applyAlignment="1">
      <alignment horizontal="left" vertical="center" indent="1"/>
    </xf>
    <xf numFmtId="0" fontId="2" fillId="0" borderId="0" xfId="0" applyFont="1"/>
    <xf numFmtId="168" fontId="2" fillId="0" borderId="0" xfId="0" applyNumberFormat="1" applyFont="1"/>
    <xf numFmtId="168" fontId="64" fillId="0" borderId="0" xfId="0" applyNumberFormat="1" applyFont="1"/>
    <xf numFmtId="0" fontId="41" fillId="0" borderId="0" xfId="0" applyFont="1" applyAlignment="1">
      <alignment horizontal="left" vertical="center"/>
    </xf>
    <xf numFmtId="0" fontId="1" fillId="0" borderId="0" xfId="0" applyFont="1"/>
    <xf numFmtId="175" fontId="0" fillId="0" borderId="0" xfId="0" applyNumberFormat="1"/>
    <xf numFmtId="9" fontId="19" fillId="0" borderId="0" xfId="0" applyNumberFormat="1" applyFont="1"/>
    <xf numFmtId="9" fontId="18" fillId="0" borderId="0" xfId="0" applyNumberFormat="1" applyFont="1"/>
    <xf numFmtId="2" fontId="0" fillId="0" borderId="0" xfId="4" applyNumberFormat="1" applyFont="1"/>
    <xf numFmtId="176" fontId="0" fillId="0" borderId="0" xfId="0" applyNumberFormat="1"/>
    <xf numFmtId="4" fontId="63" fillId="0" borderId="1" xfId="0" applyNumberFormat="1" applyFont="1" applyBorder="1"/>
    <xf numFmtId="0" fontId="48" fillId="0" borderId="0" xfId="0" applyFont="1"/>
    <xf numFmtId="8" fontId="18" fillId="0" borderId="0" xfId="0" applyNumberFormat="1" applyFont="1"/>
    <xf numFmtId="10" fontId="6" fillId="0" borderId="0" xfId="0" applyNumberFormat="1" applyFont="1"/>
    <xf numFmtId="9" fontId="6" fillId="0" borderId="0" xfId="0" applyNumberFormat="1" applyFont="1"/>
    <xf numFmtId="0" fontId="30" fillId="0" borderId="0" xfId="0" applyFont="1"/>
    <xf numFmtId="0" fontId="58" fillId="9" borderId="48" xfId="0" applyFont="1" applyFill="1" applyBorder="1" applyAlignment="1">
      <alignment horizontal="left" vertical="center" wrapText="1"/>
    </xf>
    <xf numFmtId="0" fontId="0" fillId="0" borderId="43" xfId="0" applyBorder="1"/>
    <xf numFmtId="0" fontId="58" fillId="12" borderId="48" xfId="0" applyFont="1" applyFill="1" applyBorder="1" applyAlignment="1">
      <alignment horizontal="left" vertical="center" wrapText="1"/>
    </xf>
    <xf numFmtId="0" fontId="58" fillId="9" borderId="49" xfId="0" applyFont="1" applyFill="1" applyBorder="1" applyAlignment="1">
      <alignment horizontal="left" vertical="center" wrapText="1"/>
    </xf>
    <xf numFmtId="0" fontId="0" fillId="0" borderId="45" xfId="0" applyBorder="1"/>
    <xf numFmtId="0" fontId="37" fillId="2" borderId="47" xfId="0" applyFont="1" applyFill="1" applyBorder="1" applyAlignment="1">
      <alignment horizontal="center" vertical="center" wrapText="1"/>
    </xf>
    <xf numFmtId="0" fontId="0" fillId="0" borderId="41" xfId="0" applyBorder="1"/>
    <xf numFmtId="0" fontId="59" fillId="0" borderId="22" xfId="0" applyFont="1" applyBorder="1" applyAlignment="1">
      <alignment horizontal="center" vertical="center" wrapText="1"/>
    </xf>
    <xf numFmtId="0" fontId="0" fillId="0" borderId="25" xfId="0" applyBorder="1"/>
    <xf numFmtId="0" fontId="57" fillId="0" borderId="22" xfId="0" applyFont="1" applyBorder="1" applyAlignment="1">
      <alignment horizontal="center" vertical="center" wrapText="1"/>
    </xf>
    <xf numFmtId="0" fontId="62" fillId="0" borderId="22" xfId="0" applyFont="1" applyBorder="1" applyAlignment="1">
      <alignment horizontal="left" vertical="center" wrapText="1"/>
    </xf>
    <xf numFmtId="0" fontId="33" fillId="0" borderId="20" xfId="0" applyFont="1" applyBorder="1" applyAlignment="1">
      <alignment horizontal="left" vertical="top" wrapText="1"/>
    </xf>
    <xf numFmtId="0" fontId="0" fillId="0" borderId="20" xfId="0" applyBorder="1"/>
    <xf numFmtId="0" fontId="61" fillId="0" borderId="22" xfId="0" applyFont="1" applyBorder="1" applyAlignment="1">
      <alignment horizontal="center" vertical="center" wrapText="1"/>
    </xf>
    <xf numFmtId="0" fontId="6" fillId="0" borderId="0" xfId="0" applyFont="1" applyAlignment="1">
      <alignment textRotation="90" wrapText="1"/>
    </xf>
    <xf numFmtId="0" fontId="53" fillId="3" borderId="22" xfId="0" applyFont="1" applyFill="1" applyBorder="1" applyAlignment="1">
      <alignment horizontal="center" vertical="center" wrapText="1"/>
    </xf>
  </cellXfs>
  <cellStyles count="5">
    <cellStyle name="Currency" xfId="4" builtinId="4"/>
    <cellStyle name="Hyperlink" xfId="2" builtinId="8"/>
    <cellStyle name="Normal" xfId="0" builtinId="0"/>
    <cellStyle name="Normal 2" xfId="3" xr:uid="{0799F31A-932C-48A1-B3C9-F493A65FD885}"/>
    <cellStyle name="Percent" xfId="1" builtinId="5"/>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145A32"/>
      <rgbColor rgb="FF000080"/>
      <rgbColor rgb="FF808000"/>
      <rgbColor rgb="FF800080"/>
      <rgbColor rgb="FF008080"/>
      <rgbColor rgb="FFC0C0C0"/>
      <rgbColor rgb="FF808080"/>
      <rgbColor rgb="FF9999FF"/>
      <rgbColor rgb="FF993366"/>
      <rgbColor rgb="FFFFFFCC"/>
      <rgbColor rgb="FFD6EAF8"/>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5E8D4"/>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A5276"/>
      <rgbColor rgb="FF339966"/>
      <rgbColor rgb="FF003300"/>
      <rgbColor rgb="FF333300"/>
      <rgbColor rgb="FFC0392B"/>
      <rgbColor rgb="FF993366"/>
      <rgbColor rgb="FF333399"/>
      <rgbColor rgb="FF1C2833"/>
      <rgbColor rgb="00003366"/>
      <rgbColor rgb="00339966"/>
      <rgbColor rgb="00003300"/>
      <rgbColor rgb="00333300"/>
      <rgbColor rgb="00993300"/>
      <rgbColor rgb="00993366"/>
      <rgbColor rgb="00333399"/>
      <rgbColor rgb="00333333"/>
    </indexedColors>
    <mruColors>
      <color rgb="FFFF5757"/>
      <color rgb="FFFFB9B9"/>
      <color rgb="FFFF2929"/>
      <color rgb="FF990000"/>
      <color rgb="FF8E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Valuation</a:t>
            </a:r>
            <a:r>
              <a:rPr lang="en-IN" baseline="0"/>
              <a:t> Summary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stockChart>
        <c:ser>
          <c:idx val="0"/>
          <c:order val="0"/>
          <c:tx>
            <c:strRef>
              <c:f>'Football Field Analysis'!$D$8:$G$8</c:f>
              <c:strCache>
                <c:ptCount val="4"/>
                <c:pt idx="0">
                  <c:v>High</c:v>
                </c:pt>
              </c:strCache>
            </c:strRef>
          </c:tx>
          <c:spPr>
            <a:ln w="28575" cap="rnd">
              <a:noFill/>
              <a:round/>
            </a:ln>
            <a:effectLst/>
          </c:spPr>
          <c:marker>
            <c:symbol val="none"/>
          </c:marker>
          <c:cat>
            <c:strRef>
              <c:f>'Football Field Analysis'!$H$7:$K$7</c:f>
              <c:strCache>
                <c:ptCount val="4"/>
                <c:pt idx="0">
                  <c:v>Comps</c:v>
                </c:pt>
                <c:pt idx="1">
                  <c:v>DCF</c:v>
                </c:pt>
                <c:pt idx="2">
                  <c:v>52-Week hi/lo</c:v>
                </c:pt>
                <c:pt idx="3">
                  <c:v>Market Consenses</c:v>
                </c:pt>
              </c:strCache>
            </c:strRef>
          </c:cat>
          <c:val>
            <c:numRef>
              <c:f>'Football Field Analysis'!$H$8:$K$8</c:f>
              <c:numCache>
                <c:formatCode>0.0</c:formatCode>
                <c:ptCount val="4"/>
                <c:pt idx="0">
                  <c:v>355.64591206806756</c:v>
                </c:pt>
                <c:pt idx="1">
                  <c:v>452.14572061632515</c:v>
                </c:pt>
                <c:pt idx="2">
                  <c:v>272.20318603515619</c:v>
                </c:pt>
                <c:pt idx="3">
                  <c:v>375</c:v>
                </c:pt>
              </c:numCache>
            </c:numRef>
          </c:val>
          <c:smooth val="0"/>
          <c:extLst>
            <c:ext xmlns:c16="http://schemas.microsoft.com/office/drawing/2014/chart" uri="{C3380CC4-5D6E-409C-BE32-E72D297353CC}">
              <c16:uniqueId val="{00000000-B121-4A1B-845D-555961EC89B4}"/>
            </c:ext>
          </c:extLst>
        </c:ser>
        <c:ser>
          <c:idx val="1"/>
          <c:order val="1"/>
          <c:tx>
            <c:strRef>
              <c:f>'Football Field Analysis'!$D$9:$G$9</c:f>
              <c:strCache>
                <c:ptCount val="4"/>
                <c:pt idx="0">
                  <c:v>High</c:v>
                </c:pt>
              </c:strCache>
            </c:strRef>
          </c:tx>
          <c:spPr>
            <a:ln w="28575" cap="rnd">
              <a:noFill/>
              <a:round/>
            </a:ln>
            <a:effectLst/>
          </c:spPr>
          <c:marker>
            <c:symbol val="none"/>
          </c:marker>
          <c:cat>
            <c:strRef>
              <c:f>'Football Field Analysis'!$H$7:$K$7</c:f>
              <c:strCache>
                <c:ptCount val="4"/>
                <c:pt idx="0">
                  <c:v>Comps</c:v>
                </c:pt>
                <c:pt idx="1">
                  <c:v>DCF</c:v>
                </c:pt>
                <c:pt idx="2">
                  <c:v>52-Week hi/lo</c:v>
                </c:pt>
                <c:pt idx="3">
                  <c:v>Market Consenses</c:v>
                </c:pt>
              </c:strCache>
            </c:strRef>
          </c:cat>
          <c:val>
            <c:numRef>
              <c:f>'Football Field Analysis'!$H$9:$K$9</c:f>
              <c:numCache>
                <c:formatCode>0.0</c:formatCode>
                <c:ptCount val="4"/>
                <c:pt idx="0">
                  <c:v>355.64591206806756</c:v>
                </c:pt>
                <c:pt idx="1">
                  <c:v>452.14572061632515</c:v>
                </c:pt>
                <c:pt idx="2">
                  <c:v>272.20318603515619</c:v>
                </c:pt>
                <c:pt idx="3">
                  <c:v>375</c:v>
                </c:pt>
              </c:numCache>
            </c:numRef>
          </c:val>
          <c:smooth val="0"/>
          <c:extLst>
            <c:ext xmlns:c16="http://schemas.microsoft.com/office/drawing/2014/chart" uri="{C3380CC4-5D6E-409C-BE32-E72D297353CC}">
              <c16:uniqueId val="{00000001-B121-4A1B-845D-555961EC89B4}"/>
            </c:ext>
          </c:extLst>
        </c:ser>
        <c:ser>
          <c:idx val="2"/>
          <c:order val="2"/>
          <c:tx>
            <c:strRef>
              <c:f>'Football Field Analysis'!$D$10:$G$10</c:f>
              <c:strCache>
                <c:ptCount val="4"/>
                <c:pt idx="0">
                  <c:v>Low</c:v>
                </c:pt>
              </c:strCache>
            </c:strRef>
          </c:tx>
          <c:spPr>
            <a:ln w="28575" cap="rnd">
              <a:noFill/>
              <a:round/>
            </a:ln>
            <a:effectLst/>
          </c:spPr>
          <c:marker>
            <c:symbol val="none"/>
          </c:marker>
          <c:cat>
            <c:strRef>
              <c:f>'Football Field Analysis'!$H$7:$K$7</c:f>
              <c:strCache>
                <c:ptCount val="4"/>
                <c:pt idx="0">
                  <c:v>Comps</c:v>
                </c:pt>
                <c:pt idx="1">
                  <c:v>DCF</c:v>
                </c:pt>
                <c:pt idx="2">
                  <c:v>52-Week hi/lo</c:v>
                </c:pt>
                <c:pt idx="3">
                  <c:v>Market Consenses</c:v>
                </c:pt>
              </c:strCache>
            </c:strRef>
          </c:cat>
          <c:val>
            <c:numRef>
              <c:f>'Football Field Analysis'!$H$10:$K$10</c:f>
              <c:numCache>
                <c:formatCode>0.0</c:formatCode>
                <c:ptCount val="4"/>
                <c:pt idx="0">
                  <c:v>267.67477122454488</c:v>
                </c:pt>
                <c:pt idx="1">
                  <c:v>207.76965929694165</c:v>
                </c:pt>
                <c:pt idx="2">
                  <c:v>198.94</c:v>
                </c:pt>
                <c:pt idx="3">
                  <c:v>187</c:v>
                </c:pt>
              </c:numCache>
            </c:numRef>
          </c:val>
          <c:smooth val="0"/>
          <c:extLst>
            <c:ext xmlns:c16="http://schemas.microsoft.com/office/drawing/2014/chart" uri="{C3380CC4-5D6E-409C-BE32-E72D297353CC}">
              <c16:uniqueId val="{00000002-B121-4A1B-845D-555961EC89B4}"/>
            </c:ext>
          </c:extLst>
        </c:ser>
        <c:ser>
          <c:idx val="3"/>
          <c:order val="3"/>
          <c:tx>
            <c:strRef>
              <c:f>'Football Field Analysis'!$D$11:$G$11</c:f>
              <c:strCache>
                <c:ptCount val="4"/>
                <c:pt idx="0">
                  <c:v>Low</c:v>
                </c:pt>
              </c:strCache>
            </c:strRef>
          </c:tx>
          <c:spPr>
            <a:ln w="28575" cap="rnd">
              <a:noFill/>
              <a:round/>
            </a:ln>
            <a:effectLst/>
          </c:spPr>
          <c:marker>
            <c:symbol val="none"/>
          </c:marker>
          <c:cat>
            <c:strRef>
              <c:f>'Football Field Analysis'!$H$7:$K$7</c:f>
              <c:strCache>
                <c:ptCount val="4"/>
                <c:pt idx="0">
                  <c:v>Comps</c:v>
                </c:pt>
                <c:pt idx="1">
                  <c:v>DCF</c:v>
                </c:pt>
                <c:pt idx="2">
                  <c:v>52-Week hi/lo</c:v>
                </c:pt>
                <c:pt idx="3">
                  <c:v>Market Consenses</c:v>
                </c:pt>
              </c:strCache>
            </c:strRef>
          </c:cat>
          <c:val>
            <c:numRef>
              <c:f>'Football Field Analysis'!$H$11:$K$11</c:f>
              <c:numCache>
                <c:formatCode>0.0</c:formatCode>
                <c:ptCount val="4"/>
                <c:pt idx="0">
                  <c:v>267.67477122454488</c:v>
                </c:pt>
                <c:pt idx="1">
                  <c:v>207.76965929694165</c:v>
                </c:pt>
                <c:pt idx="2">
                  <c:v>198.94</c:v>
                </c:pt>
                <c:pt idx="3">
                  <c:v>187</c:v>
                </c:pt>
              </c:numCache>
            </c:numRef>
          </c:val>
          <c:smooth val="0"/>
          <c:extLst>
            <c:ext xmlns:c16="http://schemas.microsoft.com/office/drawing/2014/chart" uri="{C3380CC4-5D6E-409C-BE32-E72D297353CC}">
              <c16:uniqueId val="{00000003-B121-4A1B-845D-555961EC89B4}"/>
            </c:ext>
          </c:extLst>
        </c:ser>
        <c:dLbls>
          <c:showLegendKey val="0"/>
          <c:showVal val="0"/>
          <c:showCatName val="0"/>
          <c:showSerName val="0"/>
          <c:showPercent val="0"/>
          <c:showBubbleSize val="0"/>
        </c:dLbls>
        <c:hiLowLines>
          <c:spPr>
            <a:ln w="9525" cap="flat" cmpd="sng" algn="ctr">
              <a:solidFill>
                <a:schemeClr val="tx1">
                  <a:lumMod val="75000"/>
                  <a:lumOff val="25000"/>
                </a:schemeClr>
              </a:solidFill>
              <a:round/>
            </a:ln>
            <a:effectLst/>
          </c:spPr>
        </c:hiLowLines>
        <c:upDownBars>
          <c:gapWidth val="150"/>
          <c:upBars>
            <c:spPr>
              <a:solidFill>
                <a:schemeClr val="lt1"/>
              </a:solidFill>
              <a:ln w="9525" cap="flat" cmpd="sng" algn="ctr">
                <a:solidFill>
                  <a:schemeClr val="tx1">
                    <a:lumMod val="65000"/>
                    <a:lumOff val="35000"/>
                  </a:schemeClr>
                </a:solidFill>
                <a:round/>
              </a:ln>
              <a:effectLst/>
            </c:spPr>
          </c:upBars>
          <c:downBars>
            <c:spPr>
              <a:solidFill>
                <a:schemeClr val="dk1">
                  <a:lumMod val="75000"/>
                  <a:lumOff val="25000"/>
                </a:schemeClr>
              </a:solidFill>
              <a:ln w="9525" cap="flat" cmpd="sng" algn="ctr">
                <a:solidFill>
                  <a:schemeClr val="tx1">
                    <a:lumMod val="65000"/>
                    <a:lumOff val="35000"/>
                  </a:schemeClr>
                </a:solidFill>
                <a:round/>
              </a:ln>
              <a:effectLst/>
            </c:spPr>
          </c:downBars>
        </c:upDownBars>
        <c:axId val="257247647"/>
        <c:axId val="138773999"/>
      </c:stockChart>
      <c:catAx>
        <c:axId val="257247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773999"/>
        <c:crosses val="autoZero"/>
        <c:auto val="1"/>
        <c:lblAlgn val="ctr"/>
        <c:lblOffset val="100"/>
        <c:noMultiLvlLbl val="0"/>
      </c:catAx>
      <c:valAx>
        <c:axId val="138773999"/>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7247647"/>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Reversed" id="22">
  <a:schemeClr val="accent2"/>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4</xdr:col>
      <xdr:colOff>770860</xdr:colOff>
      <xdr:row>2</xdr:row>
      <xdr:rowOff>336698</xdr:rowOff>
    </xdr:from>
    <xdr:to>
      <xdr:col>7</xdr:col>
      <xdr:colOff>482009</xdr:colOff>
      <xdr:row>11</xdr:row>
      <xdr:rowOff>28903</xdr:rowOff>
    </xdr:to>
    <xdr:pic>
      <xdr:nvPicPr>
        <xdr:cNvPr id="4" name="Picture 3">
          <a:extLst>
            <a:ext uri="{FF2B5EF4-FFF2-40B4-BE49-F238E27FC236}">
              <a16:creationId xmlns:a16="http://schemas.microsoft.com/office/drawing/2014/main" id="{F8679157-7356-BE34-4614-5C50BEA3522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692116" y="992372"/>
          <a:ext cx="5559056" cy="391864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24983</xdr:colOff>
      <xdr:row>19</xdr:row>
      <xdr:rowOff>24984</xdr:rowOff>
    </xdr:from>
    <xdr:to>
      <xdr:col>5</xdr:col>
      <xdr:colOff>724523</xdr:colOff>
      <xdr:row>37</xdr:row>
      <xdr:rowOff>43570</xdr:rowOff>
    </xdr:to>
    <xdr:pic>
      <xdr:nvPicPr>
        <xdr:cNvPr id="2" name="Picture 1">
          <a:extLst>
            <a:ext uri="{FF2B5EF4-FFF2-40B4-BE49-F238E27FC236}">
              <a16:creationId xmlns:a16="http://schemas.microsoft.com/office/drawing/2014/main" id="{AB7346A5-8B31-7A3E-A84C-7FD6859225B6}"/>
            </a:ext>
          </a:extLst>
        </xdr:cNvPr>
        <xdr:cNvPicPr>
          <a:picLocks noChangeAspect="1"/>
        </xdr:cNvPicPr>
      </xdr:nvPicPr>
      <xdr:blipFill>
        <a:blip xmlns:r="http://schemas.openxmlformats.org/officeDocument/2006/relationships" r:embed="rId1"/>
        <a:stretch>
          <a:fillRect/>
        </a:stretch>
      </xdr:blipFill>
      <xdr:spPr>
        <a:xfrm>
          <a:off x="199868" y="4072328"/>
          <a:ext cx="3472721" cy="3391373"/>
        </a:xfrm>
        <a:prstGeom prst="rect">
          <a:avLst/>
        </a:prstGeom>
      </xdr:spPr>
    </xdr:pic>
    <xdr:clientData/>
  </xdr:twoCellAnchor>
  <xdr:twoCellAnchor editAs="oneCell">
    <xdr:from>
      <xdr:col>13</xdr:col>
      <xdr:colOff>808247</xdr:colOff>
      <xdr:row>20</xdr:row>
      <xdr:rowOff>44082</xdr:rowOff>
    </xdr:from>
    <xdr:to>
      <xdr:col>22</xdr:col>
      <xdr:colOff>755</xdr:colOff>
      <xdr:row>39</xdr:row>
      <xdr:rowOff>53633</xdr:rowOff>
    </xdr:to>
    <xdr:pic>
      <xdr:nvPicPr>
        <xdr:cNvPr id="4" name="Picture 3">
          <a:extLst>
            <a:ext uri="{FF2B5EF4-FFF2-40B4-BE49-F238E27FC236}">
              <a16:creationId xmlns:a16="http://schemas.microsoft.com/office/drawing/2014/main" id="{C60DA191-8E42-7955-C60E-4371C6AAF1DD}"/>
            </a:ext>
          </a:extLst>
        </xdr:cNvPr>
        <xdr:cNvPicPr>
          <a:picLocks noChangeAspect="1"/>
        </xdr:cNvPicPr>
      </xdr:nvPicPr>
      <xdr:blipFill>
        <a:blip xmlns:r="http://schemas.openxmlformats.org/officeDocument/2006/relationships" r:embed="rId2"/>
        <a:stretch>
          <a:fillRect/>
        </a:stretch>
      </xdr:blipFill>
      <xdr:spPr>
        <a:xfrm>
          <a:off x="9736899" y="4201952"/>
          <a:ext cx="6497769" cy="3471681"/>
        </a:xfrm>
        <a:prstGeom prst="rect">
          <a:avLst/>
        </a:prstGeom>
      </xdr:spPr>
    </xdr:pic>
    <xdr:clientData/>
  </xdr:twoCellAnchor>
  <xdr:twoCellAnchor editAs="oneCell">
    <xdr:from>
      <xdr:col>6</xdr:col>
      <xdr:colOff>154449</xdr:colOff>
      <xdr:row>19</xdr:row>
      <xdr:rowOff>37105</xdr:rowOff>
    </xdr:from>
    <xdr:to>
      <xdr:col>12</xdr:col>
      <xdr:colOff>566396</xdr:colOff>
      <xdr:row>37</xdr:row>
      <xdr:rowOff>145729</xdr:rowOff>
    </xdr:to>
    <xdr:pic>
      <xdr:nvPicPr>
        <xdr:cNvPr id="6" name="Picture 5">
          <a:extLst>
            <a:ext uri="{FF2B5EF4-FFF2-40B4-BE49-F238E27FC236}">
              <a16:creationId xmlns:a16="http://schemas.microsoft.com/office/drawing/2014/main" id="{EBE995A1-C813-008D-E141-243D2E65969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983740" y="4030371"/>
          <a:ext cx="4655998" cy="3407409"/>
        </a:xfrm>
        <a:prstGeom prst="rect">
          <a:avLst/>
        </a:prstGeom>
      </xdr:spPr>
    </xdr:pic>
    <xdr:clientData/>
  </xdr:twoCellAnchor>
  <xdr:twoCellAnchor editAs="oneCell">
    <xdr:from>
      <xdr:col>3</xdr:col>
      <xdr:colOff>129724</xdr:colOff>
      <xdr:row>43</xdr:row>
      <xdr:rowOff>42202</xdr:rowOff>
    </xdr:from>
    <xdr:to>
      <xdr:col>13</xdr:col>
      <xdr:colOff>269402</xdr:colOff>
      <xdr:row>71</xdr:row>
      <xdr:rowOff>7339</xdr:rowOff>
    </xdr:to>
    <xdr:pic>
      <xdr:nvPicPr>
        <xdr:cNvPr id="7" name="Picture 6">
          <a:extLst>
            <a:ext uri="{FF2B5EF4-FFF2-40B4-BE49-F238E27FC236}">
              <a16:creationId xmlns:a16="http://schemas.microsoft.com/office/drawing/2014/main" id="{E990EECA-1C0F-E5DB-1EB1-A5C4E9403150}"/>
            </a:ext>
          </a:extLst>
        </xdr:cNvPr>
        <xdr:cNvPicPr>
          <a:picLocks noChangeAspect="1"/>
        </xdr:cNvPicPr>
      </xdr:nvPicPr>
      <xdr:blipFill>
        <a:blip xmlns:r="http://schemas.openxmlformats.org/officeDocument/2006/relationships" r:embed="rId4"/>
        <a:stretch>
          <a:fillRect/>
        </a:stretch>
      </xdr:blipFill>
      <xdr:spPr>
        <a:xfrm>
          <a:off x="456295" y="8351631"/>
          <a:ext cx="8666821" cy="504513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3</xdr:col>
      <xdr:colOff>198784</xdr:colOff>
      <xdr:row>13</xdr:row>
      <xdr:rowOff>185530</xdr:rowOff>
    </xdr:from>
    <xdr:to>
      <xdr:col>10</xdr:col>
      <xdr:colOff>780586</xdr:colOff>
      <xdr:row>33</xdr:row>
      <xdr:rowOff>132521</xdr:rowOff>
    </xdr:to>
    <xdr:graphicFrame macro="">
      <xdr:nvGraphicFramePr>
        <xdr:cNvPr id="3" name="Chart 2">
          <a:extLst>
            <a:ext uri="{FF2B5EF4-FFF2-40B4-BE49-F238E27FC236}">
              <a16:creationId xmlns:a16="http://schemas.microsoft.com/office/drawing/2014/main" id="{7B9206EC-2FFE-1F2D-C18C-1B65C70F27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204952</xdr:colOff>
      <xdr:row>23</xdr:row>
      <xdr:rowOff>74343</xdr:rowOff>
    </xdr:from>
    <xdr:to>
      <xdr:col>10</xdr:col>
      <xdr:colOff>734122</xdr:colOff>
      <xdr:row>23</xdr:row>
      <xdr:rowOff>108758</xdr:rowOff>
    </xdr:to>
    <xdr:cxnSp macro="">
      <xdr:nvCxnSpPr>
        <xdr:cNvPr id="5" name="Base Case Intrinsic Value Line">
          <a:extLst>
            <a:ext uri="{FF2B5EF4-FFF2-40B4-BE49-F238E27FC236}">
              <a16:creationId xmlns:a16="http://schemas.microsoft.com/office/drawing/2014/main" id="{46CE99BD-66C6-A8EE-A522-DA06EF789A7C}"/>
            </a:ext>
          </a:extLst>
        </xdr:cNvPr>
        <xdr:cNvCxnSpPr/>
      </xdr:nvCxnSpPr>
      <xdr:spPr>
        <a:xfrm flipV="1">
          <a:off x="483732" y="4813611"/>
          <a:ext cx="6783146" cy="34415"/>
        </a:xfrm>
        <a:prstGeom prst="line">
          <a:avLst/>
        </a:prstGeom>
        <a:ln>
          <a:solidFill>
            <a:schemeClr val="accent6">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persons/person.xml><?xml version="1.0" encoding="utf-8"?>
<personList xmlns="http://schemas.microsoft.com/office/spreadsheetml/2018/threadedcomments" xmlns:x="http://schemas.openxmlformats.org/spreadsheetml/2006/main">
  <person displayName="anuj patel" id="{61E75652-1A16-46DD-A269-5E3F21264586}" userId="e2f8a59adb5d4169" providerId="Windows Live"/>
</personList>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H45" dT="2026-05-11T18:19:13.20" personId="{61E75652-1A16-46DD-A269-5E3F21264586}" id="{D4485A7E-4DAF-437A-AB70-9085CFC84B5A}">
    <text xml:space="preserve">10 Years G-Sec Yield
</text>
  </threadedComment>
</ThreadedComment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britannia.co.in/"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8" Type="http://schemas.openxmlformats.org/officeDocument/2006/relationships/hyperlink" Target="https://www.screener.in/market/IN01/IN0102/IN010203/?sort=number+of+equity+shares+preceding+year&amp;order=desc" TargetMode="External"/><Relationship Id="rId13" Type="http://schemas.openxmlformats.org/officeDocument/2006/relationships/hyperlink" Target="https://www.screener.in/market/IN01/IN0102/IN010203/?sort=profit+after+tax&amp;order=desc" TargetMode="External"/><Relationship Id="rId18" Type="http://schemas.openxmlformats.org/officeDocument/2006/relationships/hyperlink" Target="https://www.screener.in/market/IN01/IN0102/IN010203/?sort=ebit&amp;order=desc" TargetMode="External"/><Relationship Id="rId3" Type="http://schemas.openxmlformats.org/officeDocument/2006/relationships/hyperlink" Target="https://www.screener.in/market/IN01/IN0102/IN010203/?sort=current+price&amp;order=desc" TargetMode="External"/><Relationship Id="rId7" Type="http://schemas.openxmlformats.org/officeDocument/2006/relationships/hyperlink" Target="https://www.screener.in/market/IN01/IN0102/IN010203/?sort=number+of+equity+shares&amp;order=desc" TargetMode="External"/><Relationship Id="rId12" Type="http://schemas.openxmlformats.org/officeDocument/2006/relationships/hyperlink" Target="https://www.screener.in/market/IN01/IN0102/IN010203/?sort=ebidt+last+year&amp;order=desc" TargetMode="External"/><Relationship Id="rId17" Type="http://schemas.openxmlformats.org/officeDocument/2006/relationships/hyperlink" Target="https://www.screener.in/market/IN01/IN0102/IN010203/?sort=return+on+capital+employed&amp;order=desc" TargetMode="External"/><Relationship Id="rId2" Type="http://schemas.openxmlformats.org/officeDocument/2006/relationships/hyperlink" Target="https://www.screener.in/market/IN01/IN0102/IN010203/?sort=name&amp;order=desc" TargetMode="External"/><Relationship Id="rId16" Type="http://schemas.openxmlformats.org/officeDocument/2006/relationships/hyperlink" Target="https://www.screener.in/market/IN01/IN0102/IN010203/?sort=return+on+equity&amp;order=desc" TargetMode="External"/><Relationship Id="rId1" Type="http://schemas.openxmlformats.org/officeDocument/2006/relationships/hyperlink" Target="https://www.screener.in/market/IN01/IN0102/IN010203/?order=asc" TargetMode="External"/><Relationship Id="rId6" Type="http://schemas.openxmlformats.org/officeDocument/2006/relationships/hyperlink" Target="https://www.screener.in/market/IN01/IN0102/IN010203/?sort=evebitda&amp;order=desc" TargetMode="External"/><Relationship Id="rId11" Type="http://schemas.openxmlformats.org/officeDocument/2006/relationships/hyperlink" Target="https://www.screener.in/market/IN01/IN0102/IN010203/?sort=price+to+free+cash+flow&amp;order=desc" TargetMode="External"/><Relationship Id="rId5" Type="http://schemas.openxmlformats.org/officeDocument/2006/relationships/hyperlink" Target="https://www.screener.in/market/IN01/IN0102/IN010203/?sort=market+capitalization&amp;order=desc" TargetMode="External"/><Relationship Id="rId15" Type="http://schemas.openxmlformats.org/officeDocument/2006/relationships/hyperlink" Target="https://www.screener.in/market/IN01/IN0102/IN010203/?sort=net+profit+last+year&amp;order=desc" TargetMode="External"/><Relationship Id="rId10" Type="http://schemas.openxmlformats.org/officeDocument/2006/relationships/hyperlink" Target="https://www.screener.in/market/IN01/IN0102/IN010203/?sort=enterprise+value&amp;order=desc" TargetMode="External"/><Relationship Id="rId4" Type="http://schemas.openxmlformats.org/officeDocument/2006/relationships/hyperlink" Target="https://www.screener.in/market/IN01/IN0102/IN010203/?sort=price+to+earning&amp;order=desc" TargetMode="External"/><Relationship Id="rId9" Type="http://schemas.openxmlformats.org/officeDocument/2006/relationships/hyperlink" Target="https://www.screener.in/market/IN01/IN0102/IN010203/?sort=debt&amp;order=desc" TargetMode="External"/><Relationship Id="rId14" Type="http://schemas.openxmlformats.org/officeDocument/2006/relationships/hyperlink" Target="https://www.screener.in/market/IN01/IN0102/IN010203/?sort=sales&amp;order=desc" TargetMode="External"/></Relationships>
</file>

<file path=xl/worksheets/_rels/sheet9.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7DF3C-1703-4D3C-AF6B-C702A5B33540}">
  <dimension ref="A1:N15"/>
  <sheetViews>
    <sheetView showGridLines="0" topLeftCell="A4" workbookViewId="0">
      <selection activeCell="B1" sqref="B1"/>
    </sheetView>
  </sheetViews>
  <sheetFormatPr defaultRowHeight="14.4" x14ac:dyDescent="0.3"/>
  <cols>
    <col min="1" max="1" width="2.6640625" customWidth="1"/>
    <col min="2" max="2" width="2.33203125" customWidth="1"/>
    <col min="3" max="3" width="19" bestFit="1" customWidth="1"/>
    <col min="4" max="4" width="46.88671875" customWidth="1"/>
    <col min="5" max="5" width="29.33203125" customWidth="1"/>
  </cols>
  <sheetData>
    <row r="1" spans="1:14" ht="32.4" x14ac:dyDescent="0.6">
      <c r="A1" s="3" t="s">
        <v>408</v>
      </c>
      <c r="B1" s="4"/>
      <c r="C1" s="4"/>
      <c r="D1" s="5"/>
      <c r="E1" s="5"/>
      <c r="F1" s="5"/>
      <c r="G1" s="5"/>
      <c r="H1" s="5"/>
      <c r="I1" s="5"/>
      <c r="J1" s="5"/>
      <c r="K1" s="5"/>
      <c r="L1" s="5"/>
      <c r="M1" s="5"/>
      <c r="N1" s="5"/>
    </row>
    <row r="2" spans="1:14" ht="19.8" x14ac:dyDescent="0.4">
      <c r="A2" s="12" t="s">
        <v>352</v>
      </c>
      <c r="B2" s="4"/>
      <c r="C2" s="4"/>
      <c r="D2" s="5"/>
      <c r="E2" s="23"/>
      <c r="F2" s="5"/>
      <c r="G2" s="5"/>
      <c r="H2" s="5"/>
      <c r="I2" s="5"/>
      <c r="J2" s="5"/>
      <c r="K2" s="5"/>
      <c r="L2" s="5"/>
      <c r="M2" s="5"/>
      <c r="N2" s="5"/>
    </row>
    <row r="4" spans="1:14" ht="24" customHeight="1" x14ac:dyDescent="0.3">
      <c r="B4" s="155"/>
      <c r="C4" s="191" t="s">
        <v>325</v>
      </c>
      <c r="D4" s="191" t="s">
        <v>326</v>
      </c>
      <c r="E4" s="191" t="s">
        <v>327</v>
      </c>
    </row>
    <row r="5" spans="1:14" ht="24" customHeight="1" x14ac:dyDescent="0.3">
      <c r="B5" s="149"/>
      <c r="C5" s="216" t="s">
        <v>177</v>
      </c>
      <c r="D5" s="190" t="s">
        <v>328</v>
      </c>
      <c r="E5" s="190" t="s">
        <v>329</v>
      </c>
    </row>
    <row r="6" spans="1:14" ht="24" customHeight="1" x14ac:dyDescent="0.3">
      <c r="B6" s="149"/>
      <c r="C6" s="156" t="s">
        <v>274</v>
      </c>
      <c r="D6" s="149" t="s">
        <v>330</v>
      </c>
      <c r="E6" s="190" t="s">
        <v>331</v>
      </c>
    </row>
    <row r="7" spans="1:14" ht="24" customHeight="1" x14ac:dyDescent="0.3">
      <c r="B7" s="149"/>
      <c r="C7" s="156" t="s">
        <v>277</v>
      </c>
      <c r="D7" s="149" t="s">
        <v>332</v>
      </c>
      <c r="E7" s="190" t="s">
        <v>333</v>
      </c>
    </row>
    <row r="8" spans="1:14" ht="24" customHeight="1" x14ac:dyDescent="0.3">
      <c r="B8" s="149"/>
      <c r="C8" s="156" t="s">
        <v>279</v>
      </c>
      <c r="D8" s="149" t="s">
        <v>334</v>
      </c>
      <c r="E8" s="190" t="s">
        <v>335</v>
      </c>
    </row>
    <row r="9" spans="1:14" ht="24" customHeight="1" x14ac:dyDescent="0.3">
      <c r="B9" s="149"/>
      <c r="C9" s="156" t="s">
        <v>278</v>
      </c>
      <c r="D9" s="149" t="s">
        <v>336</v>
      </c>
      <c r="E9" s="190" t="s">
        <v>337</v>
      </c>
    </row>
    <row r="10" spans="1:14" ht="24" customHeight="1" x14ac:dyDescent="0.3">
      <c r="B10" s="149"/>
      <c r="C10" s="156" t="s">
        <v>169</v>
      </c>
      <c r="D10" s="149" t="s">
        <v>338</v>
      </c>
      <c r="E10" s="190" t="s">
        <v>339</v>
      </c>
    </row>
    <row r="11" spans="1:14" ht="24" customHeight="1" x14ac:dyDescent="0.3">
      <c r="B11" s="149"/>
      <c r="C11" s="156" t="s">
        <v>340</v>
      </c>
      <c r="D11" s="149" t="s">
        <v>341</v>
      </c>
      <c r="E11" s="190" t="s">
        <v>342</v>
      </c>
    </row>
    <row r="12" spans="1:14" ht="24" customHeight="1" x14ac:dyDescent="0.3">
      <c r="B12" s="149"/>
      <c r="C12" s="156" t="s">
        <v>238</v>
      </c>
      <c r="D12" s="149" t="s">
        <v>343</v>
      </c>
      <c r="E12" s="190" t="s">
        <v>344</v>
      </c>
    </row>
    <row r="13" spans="1:14" ht="24" customHeight="1" x14ac:dyDescent="0.3">
      <c r="B13" s="149"/>
      <c r="C13" s="156" t="s">
        <v>149</v>
      </c>
      <c r="D13" s="149" t="s">
        <v>345</v>
      </c>
      <c r="E13" s="190" t="s">
        <v>346</v>
      </c>
    </row>
    <row r="14" spans="1:14" ht="24" customHeight="1" x14ac:dyDescent="0.3">
      <c r="B14" s="149"/>
      <c r="C14" s="156" t="s">
        <v>152</v>
      </c>
      <c r="D14" s="149" t="s">
        <v>347</v>
      </c>
      <c r="E14" s="190" t="s">
        <v>348</v>
      </c>
    </row>
    <row r="15" spans="1:14" ht="24" customHeight="1" x14ac:dyDescent="0.3">
      <c r="B15" s="149"/>
      <c r="C15" s="156" t="s">
        <v>349</v>
      </c>
      <c r="D15" s="149" t="s">
        <v>350</v>
      </c>
      <c r="E15" s="190" t="s">
        <v>351</v>
      </c>
    </row>
  </sheetData>
  <hyperlinks>
    <hyperlink ref="C5" location="Assumptions!A1" display="Assumptions" xr:uid="{B82810FF-14EC-49F1-8AED-0427D0B54A2E}"/>
    <hyperlink ref="C6" location="Historical!A1" display="Historical" xr:uid="{9D601FA9-8AF5-4C57-A4F8-267786B6E51D}"/>
    <hyperlink ref="C7" location="Model!A1" display="Model" xr:uid="{47FF12D9-4186-4CFA-8537-02FCD343851B}"/>
    <hyperlink ref="C8" location="'Ratio Analysis'!A1" display="Ratio Analysis" xr:uid="{258A61F6-DCC3-42AD-8703-C7532AC7255D}"/>
    <hyperlink ref="C9" location="'Scenario Analysis'!A1" display="Scenario Analysis" xr:uid="{9C0A0FAE-0DEA-4F75-BE4C-D26DB705A7FD}"/>
    <hyperlink ref="C10" location="Comps!A1" display="Comps" xr:uid="{73A6AB23-CF8F-43DE-AA0C-F38313C58B7A}"/>
    <hyperlink ref="C11" location="'Comp Data'!A1" display="Comp Data" xr:uid="{C3E32022-7F86-4A7B-9036-D5F1CE77CF15}"/>
    <hyperlink ref="C12" location="WACC!A1" display="WACC" xr:uid="{12621430-0ABE-4E60-9A34-851E660A0DD6}"/>
    <hyperlink ref="C13" location="Beta!A1" display="Beta" xr:uid="{699E4E2E-264A-41A6-9E72-41A93460518A}"/>
    <hyperlink ref="C14" location="'Market Data'!A1" display="Market Data" xr:uid="{14619A71-2F91-47FB-AAFD-B3B92F40F437}"/>
    <hyperlink ref="C15" location="'Football FIeld Analysis'!A1" display="Football Field Analysis" xr:uid="{0AC30D72-0B9E-49D9-A310-624940FC16F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FFC24-14AE-4514-B92C-92FDEB5BFD39}">
  <sheetPr codeName="Sheet1"/>
  <dimension ref="A1:M90"/>
  <sheetViews>
    <sheetView showGridLines="0" tabSelected="1" zoomScale="86" zoomScaleNormal="141" workbookViewId="0">
      <selection activeCell="J8" sqref="J8"/>
    </sheetView>
  </sheetViews>
  <sheetFormatPr defaultRowHeight="14.4" x14ac:dyDescent="0.3"/>
  <cols>
    <col min="2" max="4" width="35.5546875" customWidth="1"/>
    <col min="5" max="5" width="14.21875" customWidth="1"/>
    <col min="6" max="7" width="35.5546875" customWidth="1"/>
    <col min="8" max="8" width="37.77734375" customWidth="1"/>
    <col min="9" max="9" width="17.77734375" customWidth="1"/>
    <col min="10" max="10" width="47" customWidth="1"/>
    <col min="11" max="11" width="13.33203125" bestFit="1" customWidth="1"/>
    <col min="12" max="12" width="28.5546875" customWidth="1"/>
    <col min="19" max="19" width="9" bestFit="1" customWidth="1"/>
  </cols>
  <sheetData>
    <row r="1" spans="1:13" ht="32.4" x14ac:dyDescent="0.6">
      <c r="A1" s="3" t="s">
        <v>408</v>
      </c>
      <c r="B1" s="4"/>
      <c r="C1" s="4"/>
      <c r="D1" s="5"/>
      <c r="E1" s="5"/>
      <c r="F1" s="5"/>
      <c r="G1" s="5"/>
      <c r="H1" s="5"/>
      <c r="I1" s="5"/>
      <c r="J1" s="5"/>
      <c r="K1" s="5"/>
      <c r="L1" s="5"/>
      <c r="M1" s="5"/>
    </row>
    <row r="2" spans="1:13" ht="19.8" x14ac:dyDescent="0.4">
      <c r="A2" s="12" t="s">
        <v>407</v>
      </c>
      <c r="B2" s="4"/>
      <c r="C2" s="4"/>
      <c r="D2" s="5"/>
      <c r="E2" s="23"/>
      <c r="F2" s="5"/>
      <c r="G2" s="5"/>
      <c r="H2" s="5"/>
      <c r="I2" s="5"/>
      <c r="J2" s="5"/>
      <c r="K2" s="5"/>
      <c r="L2" s="5"/>
      <c r="M2" s="5"/>
    </row>
    <row r="3" spans="1:13" ht="37.200000000000003" customHeight="1" x14ac:dyDescent="0.3"/>
    <row r="4" spans="1:13" ht="37.200000000000003" customHeight="1" x14ac:dyDescent="0.3">
      <c r="B4" s="124" t="s">
        <v>244</v>
      </c>
      <c r="C4" s="125" t="str">
        <f>A1</f>
        <v>Star Cements</v>
      </c>
      <c r="D4" s="124" t="s">
        <v>276</v>
      </c>
      <c r="E4" s="113"/>
      <c r="F4" s="113"/>
      <c r="G4" s="113"/>
    </row>
    <row r="5" spans="1:13" ht="37.200000000000003" customHeight="1" x14ac:dyDescent="0.3">
      <c r="B5" s="114" t="s">
        <v>245</v>
      </c>
      <c r="C5" s="115" t="s">
        <v>548</v>
      </c>
      <c r="D5" s="271" t="s">
        <v>549</v>
      </c>
      <c r="E5" s="113"/>
      <c r="F5" s="113"/>
      <c r="G5" s="113"/>
    </row>
    <row r="6" spans="1:13" ht="37.200000000000003" customHeight="1" x14ac:dyDescent="0.3">
      <c r="B6" s="116" t="s">
        <v>246</v>
      </c>
      <c r="C6" s="117" t="s">
        <v>550</v>
      </c>
      <c r="D6" s="272"/>
      <c r="E6" s="113"/>
      <c r="F6" s="113"/>
      <c r="G6" s="113"/>
    </row>
    <row r="7" spans="1:13" ht="37.200000000000003" customHeight="1" x14ac:dyDescent="0.3">
      <c r="B7" s="114" t="s">
        <v>247</v>
      </c>
      <c r="C7" s="115" t="s">
        <v>551</v>
      </c>
      <c r="D7" s="272"/>
      <c r="E7" s="113"/>
      <c r="F7" s="113"/>
      <c r="G7" s="113"/>
    </row>
    <row r="8" spans="1:13" ht="37.200000000000003" customHeight="1" x14ac:dyDescent="0.3">
      <c r="B8" s="116" t="s">
        <v>248</v>
      </c>
      <c r="C8" s="117" t="s">
        <v>552</v>
      </c>
      <c r="D8" s="272"/>
      <c r="E8" s="113"/>
      <c r="F8" s="113"/>
      <c r="G8" s="113"/>
    </row>
    <row r="9" spans="1:13" ht="37.200000000000003" customHeight="1" x14ac:dyDescent="0.3">
      <c r="B9" s="114" t="s">
        <v>249</v>
      </c>
      <c r="C9" s="196" t="s">
        <v>553</v>
      </c>
      <c r="D9" s="272"/>
      <c r="E9" s="113"/>
      <c r="F9" s="113"/>
      <c r="G9" s="113"/>
    </row>
    <row r="10" spans="1:13" ht="37.200000000000003" customHeight="1" x14ac:dyDescent="0.3">
      <c r="B10" s="157" t="s">
        <v>250</v>
      </c>
      <c r="C10" s="158">
        <f>H17</f>
        <v>198.94</v>
      </c>
      <c r="D10" s="272"/>
      <c r="E10" s="150"/>
      <c r="F10" s="113"/>
      <c r="G10" s="113"/>
    </row>
    <row r="11" spans="1:13" ht="37.200000000000003" customHeight="1" x14ac:dyDescent="0.3">
      <c r="B11" s="164"/>
      <c r="C11" s="165"/>
      <c r="D11" s="166"/>
      <c r="E11" s="113"/>
      <c r="F11" s="113"/>
      <c r="G11" s="113"/>
    </row>
    <row r="12" spans="1:13" ht="37.200000000000003" customHeight="1" x14ac:dyDescent="0.3">
      <c r="C12" s="197"/>
      <c r="D12" s="197"/>
      <c r="E12" s="120"/>
      <c r="F12" s="113"/>
      <c r="G12" s="113"/>
    </row>
    <row r="13" spans="1:13" ht="37.200000000000003" customHeight="1" x14ac:dyDescent="0.4">
      <c r="B13" s="192" t="s">
        <v>404</v>
      </c>
      <c r="C13" s="265" t="s">
        <v>355</v>
      </c>
      <c r="D13" s="266"/>
      <c r="E13" s="120"/>
      <c r="F13" s="159" t="s">
        <v>251</v>
      </c>
      <c r="G13" s="160"/>
      <c r="H13" s="161"/>
    </row>
    <row r="14" spans="1:13" ht="30" customHeight="1" x14ac:dyDescent="0.35">
      <c r="B14" s="203" t="s">
        <v>32</v>
      </c>
      <c r="C14" s="273"/>
      <c r="D14" s="268"/>
      <c r="E14" s="113"/>
      <c r="F14" s="118" t="s">
        <v>19</v>
      </c>
      <c r="G14" s="133"/>
      <c r="H14" s="119" t="s">
        <v>275</v>
      </c>
    </row>
    <row r="15" spans="1:13" ht="30" customHeight="1" x14ac:dyDescent="0.3">
      <c r="B15" s="193" t="s">
        <v>356</v>
      </c>
      <c r="C15" s="260" t="s">
        <v>619</v>
      </c>
      <c r="D15" s="261"/>
      <c r="E15" s="113"/>
      <c r="F15" s="121" t="s">
        <v>252</v>
      </c>
      <c r="G15" s="134" t="s">
        <v>253</v>
      </c>
      <c r="H15" s="122">
        <f>'Comp Data'!I14*10000000</f>
        <v>404200000</v>
      </c>
    </row>
    <row r="16" spans="1:13" ht="30" customHeight="1" x14ac:dyDescent="0.3">
      <c r="B16" s="194" t="s">
        <v>357</v>
      </c>
      <c r="C16" s="262" t="s">
        <v>620</v>
      </c>
      <c r="D16" s="261"/>
      <c r="F16" s="121" t="s">
        <v>254</v>
      </c>
      <c r="G16" s="134" t="s">
        <v>255</v>
      </c>
      <c r="H16" s="123">
        <v>1</v>
      </c>
    </row>
    <row r="17" spans="2:8" ht="30" customHeight="1" x14ac:dyDescent="0.3">
      <c r="B17" s="193" t="s">
        <v>358</v>
      </c>
      <c r="C17" s="260" t="s">
        <v>621</v>
      </c>
      <c r="D17" s="261"/>
      <c r="F17" s="121" t="s">
        <v>250</v>
      </c>
      <c r="G17" s="134" t="s">
        <v>255</v>
      </c>
      <c r="H17" s="135">
        <f>Comps!H19</f>
        <v>198.94</v>
      </c>
    </row>
    <row r="18" spans="2:8" ht="30" customHeight="1" x14ac:dyDescent="0.3">
      <c r="B18" s="194" t="s">
        <v>359</v>
      </c>
      <c r="C18" s="262" t="s">
        <v>554</v>
      </c>
      <c r="D18" s="261"/>
      <c r="F18" s="121" t="s">
        <v>256</v>
      </c>
      <c r="G18" s="134" t="s">
        <v>239</v>
      </c>
      <c r="H18" s="135">
        <f>H17*H15/10000000</f>
        <v>8041.1548000000003</v>
      </c>
    </row>
    <row r="19" spans="2:8" ht="30" customHeight="1" x14ac:dyDescent="0.3">
      <c r="B19" s="203" t="s">
        <v>360</v>
      </c>
      <c r="C19" s="270"/>
      <c r="D19" s="268"/>
      <c r="F19" s="167"/>
      <c r="G19" s="167"/>
      <c r="H19" s="167"/>
    </row>
    <row r="20" spans="2:8" ht="30" customHeight="1" x14ac:dyDescent="0.3">
      <c r="B20" s="193" t="s">
        <v>361</v>
      </c>
      <c r="C20" s="260" t="s">
        <v>555</v>
      </c>
      <c r="D20" s="261"/>
      <c r="F20" s="198"/>
      <c r="G20" s="199"/>
      <c r="H20" s="200"/>
    </row>
    <row r="21" spans="2:8" ht="30" customHeight="1" x14ac:dyDescent="0.35">
      <c r="B21" s="194" t="s">
        <v>362</v>
      </c>
      <c r="C21" s="262" t="s">
        <v>556</v>
      </c>
      <c r="D21" s="261"/>
      <c r="F21" s="162" t="s">
        <v>354</v>
      </c>
      <c r="G21" s="163"/>
      <c r="H21" s="163"/>
    </row>
    <row r="22" spans="2:8" ht="30" customHeight="1" x14ac:dyDescent="0.35">
      <c r="B22" s="193" t="s">
        <v>363</v>
      </c>
      <c r="C22" s="260" t="s">
        <v>557</v>
      </c>
      <c r="D22" s="261"/>
      <c r="F22" s="201"/>
      <c r="G22" s="202"/>
      <c r="H22" s="202"/>
    </row>
    <row r="23" spans="2:8" ht="30" customHeight="1" x14ac:dyDescent="0.3">
      <c r="B23" s="194" t="s">
        <v>40</v>
      </c>
      <c r="C23" s="262" t="s">
        <v>558</v>
      </c>
      <c r="D23" s="261"/>
      <c r="F23" s="131" t="s">
        <v>19</v>
      </c>
      <c r="G23" s="126" t="s">
        <v>257</v>
      </c>
      <c r="H23" s="126" t="s">
        <v>258</v>
      </c>
    </row>
    <row r="24" spans="2:8" ht="30" customHeight="1" x14ac:dyDescent="0.3">
      <c r="B24" s="193" t="s">
        <v>364</v>
      </c>
      <c r="C24" s="260" t="s">
        <v>559</v>
      </c>
      <c r="D24" s="261"/>
      <c r="F24" s="114" t="s">
        <v>259</v>
      </c>
      <c r="G24" s="128" t="s">
        <v>92</v>
      </c>
      <c r="H24" s="136" cm="1">
        <f t="array" ref="H24:H27">'Scenario Analysis'!E5:E8</f>
        <v>0.13</v>
      </c>
    </row>
    <row r="25" spans="2:8" ht="30" customHeight="1" x14ac:dyDescent="0.3">
      <c r="B25" s="203" t="s">
        <v>365</v>
      </c>
      <c r="C25" s="269"/>
      <c r="D25" s="268"/>
      <c r="F25" s="116" t="s">
        <v>260</v>
      </c>
      <c r="G25" s="129" t="s">
        <v>92</v>
      </c>
      <c r="H25" s="137">
        <v>0.22248176174192258</v>
      </c>
    </row>
    <row r="26" spans="2:8" ht="30" customHeight="1" x14ac:dyDescent="0.3">
      <c r="B26" s="193" t="s">
        <v>366</v>
      </c>
      <c r="C26" s="260" t="s">
        <v>560</v>
      </c>
      <c r="D26" s="261"/>
      <c r="F26" s="114" t="s">
        <v>261</v>
      </c>
      <c r="G26" s="128" t="s">
        <v>92</v>
      </c>
      <c r="H26" s="136">
        <v>7.4999999999999997E-2</v>
      </c>
    </row>
    <row r="27" spans="2:8" ht="39.6" customHeight="1" x14ac:dyDescent="0.3">
      <c r="B27" s="193" t="s">
        <v>367</v>
      </c>
      <c r="C27" s="260" t="s">
        <v>561</v>
      </c>
      <c r="D27" s="261"/>
      <c r="F27" s="116" t="s">
        <v>262</v>
      </c>
      <c r="G27" s="129" t="s">
        <v>92</v>
      </c>
      <c r="H27" s="137">
        <v>0.1</v>
      </c>
    </row>
    <row r="28" spans="2:8" ht="30" customHeight="1" x14ac:dyDescent="0.3">
      <c r="B28" s="203" t="s">
        <v>368</v>
      </c>
      <c r="C28" s="270"/>
      <c r="D28" s="268"/>
      <c r="F28" s="114" t="s">
        <v>263</v>
      </c>
      <c r="G28" s="128" t="s">
        <v>92</v>
      </c>
      <c r="H28" s="136">
        <f>Model!L29/Model!L23</f>
        <v>0.25165320502556005</v>
      </c>
    </row>
    <row r="29" spans="2:8" ht="30" customHeight="1" x14ac:dyDescent="0.3">
      <c r="B29" s="193" t="s">
        <v>369</v>
      </c>
      <c r="C29" s="260" t="s">
        <v>562</v>
      </c>
      <c r="D29" s="261"/>
      <c r="F29" s="116" t="s">
        <v>264</v>
      </c>
      <c r="G29" s="129" t="s">
        <v>92</v>
      </c>
      <c r="H29" s="137">
        <f>Model!L37/Model!L23</f>
        <v>0.10883105997389406</v>
      </c>
    </row>
    <row r="30" spans="2:8" ht="30" customHeight="1" x14ac:dyDescent="0.3">
      <c r="B30" s="194" t="s">
        <v>370</v>
      </c>
      <c r="C30" s="262" t="s">
        <v>563</v>
      </c>
      <c r="D30" s="261"/>
      <c r="F30" s="114" t="s">
        <v>265</v>
      </c>
      <c r="G30" s="128" t="s">
        <v>92</v>
      </c>
      <c r="H30" s="136">
        <f>Model!M13</f>
        <v>0.25560460784368472</v>
      </c>
    </row>
    <row r="31" spans="2:8" ht="30" customHeight="1" x14ac:dyDescent="0.3">
      <c r="B31" s="203" t="s">
        <v>371</v>
      </c>
      <c r="C31" s="270"/>
      <c r="D31" s="268"/>
      <c r="F31" s="116" t="s">
        <v>182</v>
      </c>
      <c r="G31" s="129" t="s">
        <v>92</v>
      </c>
      <c r="H31" s="137">
        <f>Model!E140</f>
        <v>0.04</v>
      </c>
    </row>
    <row r="32" spans="2:8" ht="30" customHeight="1" x14ac:dyDescent="0.3">
      <c r="B32" s="193" t="s">
        <v>372</v>
      </c>
      <c r="C32" s="260" t="s">
        <v>564</v>
      </c>
      <c r="D32" s="261"/>
      <c r="F32" s="114" t="s">
        <v>266</v>
      </c>
      <c r="G32" s="128" t="s">
        <v>92</v>
      </c>
      <c r="H32" s="136">
        <f>WACC!H45</f>
        <v>7.0300000000000001E-2</v>
      </c>
    </row>
    <row r="33" spans="2:8" ht="30" customHeight="1" x14ac:dyDescent="0.3">
      <c r="B33" s="194" t="s">
        <v>373</v>
      </c>
      <c r="C33" s="262" t="s">
        <v>565</v>
      </c>
      <c r="D33" s="261"/>
      <c r="F33" s="116" t="s">
        <v>236</v>
      </c>
      <c r="G33" s="129" t="s">
        <v>92</v>
      </c>
      <c r="H33" s="137">
        <f>WACC!H47</f>
        <v>4.5316819119530366E-2</v>
      </c>
    </row>
    <row r="34" spans="2:8" ht="30" customHeight="1" x14ac:dyDescent="0.3">
      <c r="B34" s="193" t="s">
        <v>374</v>
      </c>
      <c r="C34" s="260" t="s">
        <v>566</v>
      </c>
      <c r="D34" s="261"/>
      <c r="F34" s="114" t="s">
        <v>267</v>
      </c>
      <c r="G34" s="128" t="s">
        <v>165</v>
      </c>
      <c r="H34" s="138">
        <f>Beta!I11</f>
        <v>0.72968522990475004</v>
      </c>
    </row>
    <row r="35" spans="2:8" ht="30" customHeight="1" x14ac:dyDescent="0.3">
      <c r="B35" s="194" t="s">
        <v>375</v>
      </c>
      <c r="C35" s="262" t="s">
        <v>567</v>
      </c>
      <c r="D35" s="261"/>
      <c r="F35" s="116" t="s">
        <v>268</v>
      </c>
      <c r="G35" s="129" t="s">
        <v>165</v>
      </c>
      <c r="H35" s="139">
        <f>WACC!H48</f>
        <v>1.0221167029167464</v>
      </c>
    </row>
    <row r="36" spans="2:8" ht="30" customHeight="1" x14ac:dyDescent="0.3">
      <c r="B36" s="193" t="s">
        <v>376</v>
      </c>
      <c r="C36" s="260" t="s">
        <v>568</v>
      </c>
      <c r="D36" s="261"/>
      <c r="F36" s="114" t="s">
        <v>234</v>
      </c>
      <c r="G36" s="128" t="s">
        <v>92</v>
      </c>
      <c r="H36" s="136">
        <f>WACC!H49</f>
        <v>0.11661907774512895</v>
      </c>
    </row>
    <row r="37" spans="2:8" ht="30" customHeight="1" x14ac:dyDescent="0.3">
      <c r="B37" s="203" t="s">
        <v>377</v>
      </c>
      <c r="C37" s="270"/>
      <c r="D37" s="268"/>
      <c r="F37" s="116" t="s">
        <v>269</v>
      </c>
      <c r="G37" s="129" t="s">
        <v>92</v>
      </c>
      <c r="H37" s="137">
        <f>WACC!H40</f>
        <v>5.7931467103816983E-2</v>
      </c>
    </row>
    <row r="38" spans="2:8" ht="30" customHeight="1" x14ac:dyDescent="0.3">
      <c r="B38" s="193" t="s">
        <v>378</v>
      </c>
      <c r="C38" s="260" t="s">
        <v>569</v>
      </c>
      <c r="D38" s="261"/>
      <c r="F38" s="114" t="s">
        <v>270</v>
      </c>
      <c r="G38" s="128" t="s">
        <v>92</v>
      </c>
      <c r="H38" s="136">
        <f>WACC!H42</f>
        <v>4.3123917172936524E-2</v>
      </c>
    </row>
    <row r="39" spans="2:8" ht="30" customHeight="1" x14ac:dyDescent="0.3">
      <c r="B39" s="194" t="s">
        <v>405</v>
      </c>
      <c r="C39" s="262" t="s">
        <v>406</v>
      </c>
      <c r="D39" s="261"/>
      <c r="F39" s="116" t="s">
        <v>238</v>
      </c>
      <c r="G39" s="129" t="s">
        <v>92</v>
      </c>
      <c r="H39" s="137">
        <f>WACC!H51</f>
        <v>0.1073059467481603</v>
      </c>
    </row>
    <row r="40" spans="2:8" ht="30" customHeight="1" x14ac:dyDescent="0.3">
      <c r="B40" s="203" t="s">
        <v>379</v>
      </c>
      <c r="C40" s="269"/>
      <c r="D40" s="268"/>
      <c r="F40" s="114" t="s">
        <v>271</v>
      </c>
      <c r="G40" s="128" t="s">
        <v>164</v>
      </c>
      <c r="H40" s="140">
        <f ca="1">Model!E173</f>
        <v>275.98694978659472</v>
      </c>
    </row>
    <row r="41" spans="2:8" ht="30" customHeight="1" x14ac:dyDescent="0.3">
      <c r="B41" s="193" t="s">
        <v>229</v>
      </c>
      <c r="C41" s="260" t="s">
        <v>570</v>
      </c>
      <c r="D41" s="261"/>
      <c r="F41" s="116" t="s">
        <v>272</v>
      </c>
      <c r="G41" s="129"/>
      <c r="H41" s="127" t="s">
        <v>585</v>
      </c>
    </row>
    <row r="42" spans="2:8" ht="30" customHeight="1" x14ac:dyDescent="0.3">
      <c r="B42" s="194" t="s">
        <v>109</v>
      </c>
      <c r="C42" s="262" t="s">
        <v>571</v>
      </c>
      <c r="D42" s="261"/>
      <c r="F42" s="132" t="s">
        <v>273</v>
      </c>
      <c r="G42" s="130" t="s">
        <v>92</v>
      </c>
      <c r="H42" s="141">
        <f ca="1">Model!M169</f>
        <v>0.38728737200459795</v>
      </c>
    </row>
    <row r="43" spans="2:8" ht="30" customHeight="1" x14ac:dyDescent="0.3">
      <c r="B43" s="193" t="s">
        <v>65</v>
      </c>
      <c r="C43" s="260" t="s">
        <v>572</v>
      </c>
      <c r="D43" s="261"/>
    </row>
    <row r="44" spans="2:8" ht="30" customHeight="1" x14ac:dyDescent="0.3">
      <c r="B44" s="194" t="s">
        <v>380</v>
      </c>
      <c r="C44" s="262" t="s">
        <v>573</v>
      </c>
      <c r="D44" s="261"/>
    </row>
    <row r="45" spans="2:8" ht="30" customHeight="1" x14ac:dyDescent="0.3">
      <c r="B45" s="193" t="s">
        <v>381</v>
      </c>
      <c r="C45" s="260" t="s">
        <v>574</v>
      </c>
      <c r="D45" s="261"/>
    </row>
    <row r="46" spans="2:8" ht="30" customHeight="1" x14ac:dyDescent="0.3">
      <c r="B46" s="194" t="s">
        <v>99</v>
      </c>
      <c r="C46" s="262" t="s">
        <v>575</v>
      </c>
      <c r="D46" s="261"/>
    </row>
    <row r="47" spans="2:8" ht="30" customHeight="1" x14ac:dyDescent="0.3">
      <c r="B47" s="193" t="s">
        <v>382</v>
      </c>
      <c r="C47" s="260" t="s">
        <v>576</v>
      </c>
      <c r="D47" s="261"/>
      <c r="F47" s="113"/>
      <c r="G47" s="113"/>
      <c r="H47" s="113"/>
    </row>
    <row r="48" spans="2:8" ht="30" customHeight="1" x14ac:dyDescent="0.3">
      <c r="B48" s="203" t="s">
        <v>383</v>
      </c>
      <c r="C48" s="267"/>
      <c r="D48" s="268"/>
    </row>
    <row r="49" spans="2:4" ht="30" customHeight="1" x14ac:dyDescent="0.3">
      <c r="B49" s="193" t="s">
        <v>384</v>
      </c>
      <c r="C49" s="260" t="s">
        <v>385</v>
      </c>
      <c r="D49" s="261"/>
    </row>
    <row r="50" spans="2:4" ht="30" customHeight="1" x14ac:dyDescent="0.3">
      <c r="B50" s="194" t="s">
        <v>238</v>
      </c>
      <c r="C50" s="262" t="s">
        <v>623</v>
      </c>
      <c r="D50" s="261"/>
    </row>
    <row r="51" spans="2:4" ht="30" customHeight="1" x14ac:dyDescent="0.3">
      <c r="B51" s="193" t="s">
        <v>386</v>
      </c>
      <c r="C51" s="260" t="s">
        <v>627</v>
      </c>
      <c r="D51" s="261"/>
    </row>
    <row r="52" spans="2:4" ht="30" customHeight="1" x14ac:dyDescent="0.3">
      <c r="B52" s="194" t="s">
        <v>387</v>
      </c>
      <c r="C52" s="262" t="s">
        <v>626</v>
      </c>
      <c r="D52" s="261"/>
    </row>
    <row r="53" spans="2:4" ht="30" customHeight="1" x14ac:dyDescent="0.3">
      <c r="B53" s="193" t="s">
        <v>388</v>
      </c>
      <c r="C53" s="260" t="s">
        <v>577</v>
      </c>
      <c r="D53" s="261"/>
    </row>
    <row r="54" spans="2:4" ht="30" customHeight="1" x14ac:dyDescent="0.3">
      <c r="B54" s="193" t="s">
        <v>196</v>
      </c>
      <c r="C54" s="260" t="s">
        <v>628</v>
      </c>
      <c r="D54" s="261"/>
    </row>
    <row r="55" spans="2:4" ht="30" customHeight="1" x14ac:dyDescent="0.3">
      <c r="B55" s="203" t="s">
        <v>389</v>
      </c>
      <c r="C55" s="267"/>
      <c r="D55" s="268"/>
    </row>
    <row r="56" spans="2:4" ht="30" customHeight="1" x14ac:dyDescent="0.3">
      <c r="B56" s="193" t="s">
        <v>390</v>
      </c>
      <c r="C56" s="260" t="s">
        <v>391</v>
      </c>
      <c r="D56" s="261"/>
    </row>
    <row r="57" spans="2:4" ht="30" customHeight="1" x14ac:dyDescent="0.3">
      <c r="B57" s="193" t="s">
        <v>236</v>
      </c>
      <c r="C57" s="260" t="s">
        <v>624</v>
      </c>
      <c r="D57" s="261"/>
    </row>
    <row r="58" spans="2:4" ht="30" customHeight="1" x14ac:dyDescent="0.3">
      <c r="B58" s="194" t="s">
        <v>392</v>
      </c>
      <c r="C58" s="262" t="s">
        <v>578</v>
      </c>
      <c r="D58" s="261"/>
    </row>
    <row r="59" spans="2:4" ht="30" customHeight="1" x14ac:dyDescent="0.3">
      <c r="B59" s="193" t="s">
        <v>393</v>
      </c>
      <c r="C59" s="260" t="s">
        <v>625</v>
      </c>
      <c r="D59" s="261"/>
    </row>
    <row r="60" spans="2:4" ht="30" customHeight="1" x14ac:dyDescent="0.3">
      <c r="B60" s="194" t="s">
        <v>269</v>
      </c>
      <c r="C60" s="262" t="s">
        <v>579</v>
      </c>
      <c r="D60" s="261"/>
    </row>
    <row r="61" spans="2:4" ht="30" customHeight="1" x14ac:dyDescent="0.3">
      <c r="B61" s="193" t="s">
        <v>270</v>
      </c>
      <c r="C61" s="260" t="s">
        <v>580</v>
      </c>
      <c r="D61" s="261"/>
    </row>
    <row r="62" spans="2:4" ht="30" customHeight="1" x14ac:dyDescent="0.3">
      <c r="B62" s="203" t="s">
        <v>394</v>
      </c>
      <c r="C62" s="267"/>
      <c r="D62" s="268"/>
    </row>
    <row r="63" spans="2:4" ht="46.8" customHeight="1" x14ac:dyDescent="0.3">
      <c r="B63" s="193" t="s">
        <v>395</v>
      </c>
      <c r="C63" s="260" t="s">
        <v>581</v>
      </c>
      <c r="D63" s="261"/>
    </row>
    <row r="64" spans="2:4" ht="30" customHeight="1" x14ac:dyDescent="0.3">
      <c r="B64" s="194" t="s">
        <v>396</v>
      </c>
      <c r="C64" s="262" t="s">
        <v>582</v>
      </c>
      <c r="D64" s="261"/>
    </row>
    <row r="65" spans="2:4" ht="30" customHeight="1" x14ac:dyDescent="0.3">
      <c r="B65" s="193" t="s">
        <v>397</v>
      </c>
      <c r="C65" s="260" t="s">
        <v>583</v>
      </c>
      <c r="D65" s="261"/>
    </row>
    <row r="66" spans="2:4" ht="45" customHeight="1" x14ac:dyDescent="0.3">
      <c r="B66" s="194" t="s">
        <v>213</v>
      </c>
      <c r="C66" s="262" t="s">
        <v>584</v>
      </c>
      <c r="D66" s="261"/>
    </row>
    <row r="67" spans="2:4" ht="30" customHeight="1" x14ac:dyDescent="0.3">
      <c r="B67" s="203" t="s">
        <v>398</v>
      </c>
      <c r="C67" s="267"/>
      <c r="D67" s="268"/>
    </row>
    <row r="68" spans="2:4" ht="30" customHeight="1" x14ac:dyDescent="0.3">
      <c r="B68" s="193" t="s">
        <v>399</v>
      </c>
      <c r="C68" s="260" t="s">
        <v>629</v>
      </c>
      <c r="D68" s="261"/>
    </row>
    <row r="69" spans="2:4" ht="30" customHeight="1" x14ac:dyDescent="0.3">
      <c r="B69" s="194" t="s">
        <v>400</v>
      </c>
      <c r="C69" s="262" t="s">
        <v>401</v>
      </c>
      <c r="D69" s="261"/>
    </row>
    <row r="70" spans="2:4" ht="30" customHeight="1" x14ac:dyDescent="0.3">
      <c r="B70" s="195" t="s">
        <v>402</v>
      </c>
      <c r="C70" s="263" t="s">
        <v>403</v>
      </c>
      <c r="D70" s="264"/>
    </row>
    <row r="71" spans="2:4" ht="30" customHeight="1" x14ac:dyDescent="0.3"/>
    <row r="72" spans="2:4" ht="30" customHeight="1" x14ac:dyDescent="0.3"/>
    <row r="73" spans="2:4" ht="30" customHeight="1" x14ac:dyDescent="0.3"/>
    <row r="74" spans="2:4" ht="30" customHeight="1" x14ac:dyDescent="0.3"/>
    <row r="75" spans="2:4" ht="30" customHeight="1" x14ac:dyDescent="0.3"/>
    <row r="76" spans="2:4" ht="30" customHeight="1" x14ac:dyDescent="0.3"/>
    <row r="77" spans="2:4" ht="30" customHeight="1" x14ac:dyDescent="0.3"/>
    <row r="78" spans="2:4" ht="30" customHeight="1" x14ac:dyDescent="0.3"/>
    <row r="79" spans="2:4" ht="30" customHeight="1" x14ac:dyDescent="0.3"/>
    <row r="80" spans="2:4" ht="30" customHeight="1" x14ac:dyDescent="0.3"/>
    <row r="81" ht="30" customHeight="1" x14ac:dyDescent="0.3"/>
    <row r="82" ht="30" customHeight="1" x14ac:dyDescent="0.3"/>
    <row r="83" ht="30" customHeight="1" x14ac:dyDescent="0.3"/>
    <row r="84" ht="30" customHeight="1" x14ac:dyDescent="0.3"/>
    <row r="85" ht="30" customHeight="1" x14ac:dyDescent="0.3"/>
    <row r="86" ht="30" customHeight="1" x14ac:dyDescent="0.3"/>
    <row r="87" ht="30" customHeight="1" x14ac:dyDescent="0.3"/>
    <row r="88" ht="30" customHeight="1" x14ac:dyDescent="0.3"/>
    <row r="89" ht="30" customHeight="1" x14ac:dyDescent="0.3"/>
    <row r="90" ht="30" customHeight="1" x14ac:dyDescent="0.3"/>
  </sheetData>
  <mergeCells count="59">
    <mergeCell ref="D5:D10"/>
    <mergeCell ref="C27:D27"/>
    <mergeCell ref="C28:D28"/>
    <mergeCell ref="C29:D29"/>
    <mergeCell ref="C14:D14"/>
    <mergeCell ref="C15:D15"/>
    <mergeCell ref="C16:D16"/>
    <mergeCell ref="C17:D17"/>
    <mergeCell ref="C18:D18"/>
    <mergeCell ref="C19:D19"/>
    <mergeCell ref="C20:D20"/>
    <mergeCell ref="C21:D21"/>
    <mergeCell ref="C22:D22"/>
    <mergeCell ref="C23:D23"/>
    <mergeCell ref="C24:D24"/>
    <mergeCell ref="C25:D25"/>
    <mergeCell ref="C26:D26"/>
    <mergeCell ref="C30:D30"/>
    <mergeCell ref="C31:D31"/>
    <mergeCell ref="C32:D32"/>
    <mergeCell ref="C33:D33"/>
    <mergeCell ref="C34:D34"/>
    <mergeCell ref="C40:D40"/>
    <mergeCell ref="C35:D35"/>
    <mergeCell ref="C36:D36"/>
    <mergeCell ref="C37:D37"/>
    <mergeCell ref="C38:D38"/>
    <mergeCell ref="C39:D39"/>
    <mergeCell ref="C46:D46"/>
    <mergeCell ref="C47:D47"/>
    <mergeCell ref="C48:D48"/>
    <mergeCell ref="C41:D41"/>
    <mergeCell ref="C42:D42"/>
    <mergeCell ref="C43:D43"/>
    <mergeCell ref="C44:D44"/>
    <mergeCell ref="C45:D45"/>
    <mergeCell ref="C55:D55"/>
    <mergeCell ref="C56:D56"/>
    <mergeCell ref="C49:D49"/>
    <mergeCell ref="C50:D50"/>
    <mergeCell ref="C51:D51"/>
    <mergeCell ref="C52:D52"/>
    <mergeCell ref="C53:D53"/>
    <mergeCell ref="C68:D68"/>
    <mergeCell ref="C69:D69"/>
    <mergeCell ref="C70:D70"/>
    <mergeCell ref="C13:D13"/>
    <mergeCell ref="C63:D63"/>
    <mergeCell ref="C64:D64"/>
    <mergeCell ref="C65:D65"/>
    <mergeCell ref="C66:D66"/>
    <mergeCell ref="C67:D67"/>
    <mergeCell ref="C60:D60"/>
    <mergeCell ref="C61:D61"/>
    <mergeCell ref="C62:D62"/>
    <mergeCell ref="C57:D57"/>
    <mergeCell ref="C58:D58"/>
    <mergeCell ref="C59:D59"/>
    <mergeCell ref="C54:D54"/>
  </mergeCells>
  <hyperlinks>
    <hyperlink ref="C9" r:id="rId1" xr:uid="{A13ECACC-C67F-4516-81BD-328E0C67F6F1}"/>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Q153"/>
  <sheetViews>
    <sheetView showGridLines="0" zoomScale="79" zoomScaleNormal="79" workbookViewId="0">
      <pane xSplit="4" ySplit="3" topLeftCell="J44" activePane="bottomRight" state="frozen"/>
      <selection pane="topRight" activeCell="E1" sqref="E1"/>
      <selection pane="bottomLeft" activeCell="A4" sqref="A4"/>
      <selection pane="bottomRight" activeCell="D7" sqref="D7"/>
    </sheetView>
  </sheetViews>
  <sheetFormatPr defaultColWidth="11.77734375" defaultRowHeight="14.4" x14ac:dyDescent="0.3"/>
  <cols>
    <col min="1" max="3" width="1.33203125" style="1" customWidth="1"/>
    <col min="4" max="4" width="78.33203125" bestFit="1" customWidth="1"/>
    <col min="5" max="6" width="12.77734375" customWidth="1"/>
    <col min="7" max="7" width="2.77734375" customWidth="1"/>
    <col min="8" max="11" width="12.5546875" bestFit="1" customWidth="1"/>
    <col min="12" max="12" width="10.44140625" bestFit="1" customWidth="1"/>
  </cols>
  <sheetData>
    <row r="1" spans="1:14" ht="32.4" x14ac:dyDescent="0.6">
      <c r="A1" s="3" t="s">
        <v>408</v>
      </c>
      <c r="B1" s="4"/>
      <c r="C1" s="4"/>
      <c r="D1" s="5"/>
      <c r="E1" s="5"/>
      <c r="F1" s="5"/>
      <c r="G1" s="5"/>
      <c r="H1" s="5"/>
      <c r="I1" s="5"/>
      <c r="J1" s="5"/>
      <c r="K1" s="5"/>
      <c r="L1" s="5"/>
    </row>
    <row r="2" spans="1:14" ht="19.8" x14ac:dyDescent="0.4">
      <c r="A2" s="217" t="s">
        <v>21</v>
      </c>
      <c r="B2" s="4"/>
      <c r="C2" s="4"/>
      <c r="D2" s="5"/>
      <c r="E2" s="23" t="s">
        <v>20</v>
      </c>
      <c r="F2" s="5"/>
      <c r="G2" s="5"/>
      <c r="H2" s="5"/>
      <c r="I2" s="5"/>
      <c r="J2" s="5"/>
      <c r="K2" s="5"/>
      <c r="L2" s="5"/>
    </row>
    <row r="3" spans="1:14" x14ac:dyDescent="0.3">
      <c r="A3" s="221"/>
      <c r="B3" s="221"/>
      <c r="C3" s="221"/>
      <c r="D3" s="222"/>
      <c r="E3" s="222"/>
      <c r="F3" s="222"/>
      <c r="G3" s="222"/>
      <c r="H3" s="222">
        <v>2022</v>
      </c>
      <c r="I3" s="222">
        <f>H3+1</f>
        <v>2023</v>
      </c>
      <c r="J3" s="222">
        <f>I3+1</f>
        <v>2024</v>
      </c>
      <c r="K3" s="222">
        <f>J3+1</f>
        <v>2025</v>
      </c>
      <c r="L3" s="222">
        <v>2026</v>
      </c>
    </row>
    <row r="4" spans="1:14" x14ac:dyDescent="0.3">
      <c r="A4" s="221" t="s">
        <v>22</v>
      </c>
      <c r="B4" s="221"/>
      <c r="C4" s="221"/>
      <c r="D4" s="222"/>
      <c r="E4" s="222"/>
      <c r="F4" s="222"/>
      <c r="G4" s="222"/>
      <c r="H4" s="222"/>
      <c r="I4" s="222"/>
      <c r="J4" s="222"/>
      <c r="K4" s="222"/>
      <c r="L4" s="222"/>
      <c r="M4" s="2"/>
    </row>
    <row r="5" spans="1:14" ht="15" customHeight="1" x14ac:dyDescent="0.3">
      <c r="A5" s="223"/>
      <c r="B5" s="223"/>
      <c r="C5" s="223"/>
      <c r="D5" s="224" t="s">
        <v>19</v>
      </c>
      <c r="E5" s="113"/>
      <c r="F5" s="113"/>
      <c r="G5" s="113"/>
      <c r="H5" s="113"/>
      <c r="I5" s="113"/>
      <c r="J5" s="113"/>
      <c r="K5" s="113"/>
      <c r="L5" s="113"/>
    </row>
    <row r="6" spans="1:14" ht="15" hidden="1" customHeight="1" x14ac:dyDescent="0.3">
      <c r="A6" s="223"/>
      <c r="B6" s="223"/>
      <c r="C6" s="223"/>
      <c r="D6" s="222"/>
      <c r="E6" s="222"/>
      <c r="F6" s="222"/>
      <c r="G6" s="222"/>
      <c r="H6" s="222"/>
      <c r="I6" s="222"/>
      <c r="J6" s="222"/>
      <c r="K6" s="222"/>
      <c r="L6" s="222"/>
    </row>
    <row r="7" spans="1:14" ht="15" customHeight="1" x14ac:dyDescent="0.3">
      <c r="A7" s="223"/>
      <c r="B7" s="223"/>
      <c r="C7" s="223"/>
      <c r="D7" s="225" t="s">
        <v>409</v>
      </c>
      <c r="E7" s="113"/>
      <c r="F7" s="113"/>
      <c r="G7" s="113"/>
      <c r="H7" s="226"/>
      <c r="I7" s="226"/>
      <c r="J7" s="113"/>
      <c r="K7" s="113"/>
      <c r="L7" s="113"/>
    </row>
    <row r="8" spans="1:14" ht="15" customHeight="1" x14ac:dyDescent="0.3">
      <c r="A8" s="223"/>
      <c r="B8" s="223"/>
      <c r="C8" s="223"/>
      <c r="D8" s="227" t="s">
        <v>410</v>
      </c>
      <c r="E8" s="113" t="s">
        <v>543</v>
      </c>
      <c r="F8" s="113"/>
      <c r="G8" s="113"/>
      <c r="H8" s="226">
        <v>2221.819</v>
      </c>
      <c r="I8" s="226">
        <v>2704.8467999999998</v>
      </c>
      <c r="J8" s="226">
        <v>2910.6671000000001</v>
      </c>
      <c r="K8" s="226">
        <v>3163.3948999999998</v>
      </c>
      <c r="L8" s="226">
        <v>3776.4872999999998</v>
      </c>
      <c r="N8" s="226"/>
    </row>
    <row r="9" spans="1:14" ht="15" customHeight="1" x14ac:dyDescent="0.3">
      <c r="A9" s="223"/>
      <c r="B9" s="223"/>
      <c r="C9" s="223"/>
      <c r="D9" s="227" t="s">
        <v>411</v>
      </c>
      <c r="E9" s="113" t="s">
        <v>543</v>
      </c>
      <c r="F9" s="113"/>
      <c r="G9" s="113"/>
      <c r="H9" s="226">
        <v>33.371700000000004</v>
      </c>
      <c r="I9" s="226">
        <v>52.082700000000003</v>
      </c>
      <c r="J9" s="226">
        <v>26.465100000000003</v>
      </c>
      <c r="K9" s="226">
        <v>10.566400000000002</v>
      </c>
      <c r="L9" s="226">
        <v>19.260899999999999</v>
      </c>
    </row>
    <row r="10" spans="1:14" ht="15" customHeight="1" x14ac:dyDescent="0.3">
      <c r="A10" s="223"/>
      <c r="B10" s="223"/>
      <c r="C10" s="223"/>
      <c r="D10" s="228" t="s">
        <v>0</v>
      </c>
      <c r="E10" s="229" t="s">
        <v>543</v>
      </c>
      <c r="F10" s="229"/>
      <c r="G10" s="229"/>
      <c r="H10" s="230">
        <f>SUM(H8:H9)</f>
        <v>2255.1907000000001</v>
      </c>
      <c r="I10" s="230">
        <f t="shared" ref="I10:L10" si="0">SUM(I8:I9)</f>
        <v>2756.9294999999997</v>
      </c>
      <c r="J10" s="230">
        <f t="shared" si="0"/>
        <v>2937.1322</v>
      </c>
      <c r="K10" s="230">
        <f t="shared" si="0"/>
        <v>3173.9612999999999</v>
      </c>
      <c r="L10" s="230">
        <f t="shared" si="0"/>
        <v>3795.7482</v>
      </c>
    </row>
    <row r="11" spans="1:14" ht="15" customHeight="1" x14ac:dyDescent="0.3">
      <c r="A11" s="223"/>
      <c r="B11" s="223"/>
      <c r="C11" s="223"/>
      <c r="D11" s="225" t="s">
        <v>412</v>
      </c>
      <c r="E11" s="113"/>
      <c r="F11" s="113"/>
      <c r="G11" s="113"/>
      <c r="H11" s="226"/>
      <c r="I11" s="226"/>
      <c r="J11" s="226"/>
      <c r="K11" s="226"/>
      <c r="L11" s="226"/>
    </row>
    <row r="12" spans="1:14" ht="15" customHeight="1" x14ac:dyDescent="0.3">
      <c r="A12" s="223"/>
      <c r="B12" s="223"/>
      <c r="C12" s="223"/>
      <c r="D12" s="227" t="s">
        <v>413</v>
      </c>
      <c r="E12" s="113" t="s">
        <v>543</v>
      </c>
      <c r="F12" s="113"/>
      <c r="G12" s="113"/>
      <c r="H12" s="226">
        <v>545.43389999999999</v>
      </c>
      <c r="I12" s="226">
        <v>643.58960000000002</v>
      </c>
      <c r="J12" s="226">
        <v>462.92870000000005</v>
      </c>
      <c r="K12" s="226">
        <v>566.20029999999997</v>
      </c>
      <c r="L12" s="226">
        <v>496.04349999999999</v>
      </c>
    </row>
    <row r="13" spans="1:14" ht="15" customHeight="1" x14ac:dyDescent="0.3">
      <c r="A13" s="223"/>
      <c r="B13" s="223"/>
      <c r="C13" s="223"/>
      <c r="D13" s="227" t="s">
        <v>414</v>
      </c>
      <c r="E13" s="113" t="s">
        <v>543</v>
      </c>
      <c r="F13" s="113"/>
      <c r="G13" s="113"/>
      <c r="H13" s="226">
        <v>28.5413</v>
      </c>
      <c r="I13" s="226">
        <v>-17.863199999999999</v>
      </c>
      <c r="J13" s="226">
        <v>16.608000000000001</v>
      </c>
      <c r="K13" s="226">
        <v>-47.065200000000004</v>
      </c>
      <c r="L13" s="226">
        <f>(-19.79+23.21)/100</f>
        <v>3.4200000000000015E-2</v>
      </c>
    </row>
    <row r="14" spans="1:14" ht="15" customHeight="1" x14ac:dyDescent="0.3">
      <c r="A14" s="223"/>
      <c r="B14" s="223"/>
      <c r="C14" s="223"/>
      <c r="D14" s="227" t="s">
        <v>415</v>
      </c>
      <c r="E14" s="113" t="s">
        <v>543</v>
      </c>
      <c r="F14" s="113"/>
      <c r="G14" s="113"/>
      <c r="H14" s="226">
        <v>159.3501</v>
      </c>
      <c r="I14" s="226">
        <v>195.8732</v>
      </c>
      <c r="J14" s="226">
        <v>214.79490000000001</v>
      </c>
      <c r="K14" s="226">
        <v>247.46119999999999</v>
      </c>
      <c r="L14" s="226">
        <v>277.22820000000002</v>
      </c>
    </row>
    <row r="15" spans="1:14" ht="15" customHeight="1" x14ac:dyDescent="0.3">
      <c r="A15" s="223"/>
      <c r="B15" s="223"/>
      <c r="C15" s="223"/>
      <c r="D15" s="227" t="s">
        <v>416</v>
      </c>
      <c r="E15" s="113" t="s">
        <v>543</v>
      </c>
      <c r="F15" s="113"/>
      <c r="G15" s="113"/>
      <c r="H15" s="226">
        <v>13.340299999999999</v>
      </c>
      <c r="I15" s="226">
        <v>9.6950000000000003</v>
      </c>
      <c r="J15" s="226">
        <v>12.601199999999999</v>
      </c>
      <c r="K15" s="226">
        <v>31.623100000000001</v>
      </c>
      <c r="L15" s="226">
        <v>46.304499999999997</v>
      </c>
    </row>
    <row r="16" spans="1:14" ht="15" customHeight="1" x14ac:dyDescent="0.3">
      <c r="A16" s="223"/>
      <c r="B16" s="223"/>
      <c r="C16" s="223"/>
      <c r="D16" s="227" t="s">
        <v>417</v>
      </c>
      <c r="E16" s="113" t="s">
        <v>543</v>
      </c>
      <c r="F16" s="113"/>
      <c r="G16" s="113"/>
      <c r="H16" s="226">
        <v>121.62950000000001</v>
      </c>
      <c r="I16" s="226">
        <v>131.1122</v>
      </c>
      <c r="J16" s="226">
        <v>146.5977</v>
      </c>
      <c r="K16" s="226">
        <v>331.91050000000001</v>
      </c>
      <c r="L16" s="226">
        <v>365.2867</v>
      </c>
    </row>
    <row r="17" spans="1:17" ht="15" customHeight="1" x14ac:dyDescent="0.3">
      <c r="A17" s="223"/>
      <c r="B17" s="223"/>
      <c r="C17" s="223"/>
      <c r="D17" s="227" t="s">
        <v>418</v>
      </c>
      <c r="E17" s="113" t="s">
        <v>543</v>
      </c>
      <c r="F17" s="113"/>
      <c r="G17" s="113"/>
      <c r="H17" s="226">
        <v>416.8999</v>
      </c>
      <c r="I17" s="226">
        <v>569.73489999999993</v>
      </c>
      <c r="J17" s="226">
        <v>555.09739999999999</v>
      </c>
      <c r="K17" s="226">
        <v>528.78839999999991</v>
      </c>
      <c r="L17" s="226">
        <v>557.90559999999994</v>
      </c>
    </row>
    <row r="18" spans="1:17" ht="15" customHeight="1" x14ac:dyDescent="0.3">
      <c r="A18" s="223"/>
      <c r="B18" s="223"/>
      <c r="C18" s="223"/>
      <c r="D18" s="227" t="s">
        <v>419</v>
      </c>
      <c r="E18" s="113" t="s">
        <v>543</v>
      </c>
      <c r="F18" s="113"/>
      <c r="G18" s="113"/>
      <c r="H18" s="226">
        <v>427.07470000000001</v>
      </c>
      <c r="I18" s="226">
        <v>506.73910000000001</v>
      </c>
      <c r="J18" s="226">
        <v>741.41830000000004</v>
      </c>
      <c r="K18" s="226">
        <v>828.30730000000005</v>
      </c>
      <c r="L18" s="226">
        <v>1035.3812</v>
      </c>
      <c r="O18" s="146"/>
      <c r="P18" s="146"/>
      <c r="Q18" s="146"/>
    </row>
    <row r="19" spans="1:17" ht="15" customHeight="1" x14ac:dyDescent="0.3">
      <c r="A19" s="223"/>
      <c r="B19" s="223"/>
      <c r="C19" s="223"/>
      <c r="D19" s="227" t="s">
        <v>420</v>
      </c>
      <c r="E19" s="113" t="s">
        <v>543</v>
      </c>
      <c r="F19" s="113"/>
      <c r="G19" s="113"/>
      <c r="H19" s="226">
        <v>302.19569999999999</v>
      </c>
      <c r="I19" s="226">
        <v>350.98199999999997</v>
      </c>
      <c r="J19" s="226">
        <v>379.89260000000002</v>
      </c>
      <c r="K19" s="226">
        <v>468.83459999999997</v>
      </c>
      <c r="L19" s="226">
        <v>473.94330000000002</v>
      </c>
    </row>
    <row r="20" spans="1:17" ht="15" customHeight="1" x14ac:dyDescent="0.3">
      <c r="A20" s="223"/>
      <c r="B20" s="223"/>
      <c r="C20" s="223"/>
      <c r="D20" s="227" t="s">
        <v>421</v>
      </c>
      <c r="E20" s="113" t="s">
        <v>543</v>
      </c>
      <c r="F20" s="113"/>
      <c r="G20" s="113"/>
      <c r="H20" s="226">
        <v>-2.9281999999999999</v>
      </c>
      <c r="I20" s="226">
        <v>-12.6008</v>
      </c>
      <c r="J20" s="226">
        <v>-16.3856</v>
      </c>
      <c r="K20" s="226">
        <v>-7.7729999999999997</v>
      </c>
      <c r="L20" s="226">
        <v>0</v>
      </c>
    </row>
    <row r="21" spans="1:17" ht="15" customHeight="1" x14ac:dyDescent="0.3">
      <c r="A21" s="223"/>
      <c r="B21" s="223"/>
      <c r="C21" s="223"/>
      <c r="D21" s="228" t="s">
        <v>422</v>
      </c>
      <c r="E21" s="229" t="s">
        <v>543</v>
      </c>
      <c r="F21" s="229"/>
      <c r="G21" s="229"/>
      <c r="H21" s="230">
        <f>SUM(H12:H20)</f>
        <v>2011.5371999999998</v>
      </c>
      <c r="I21" s="230">
        <f t="shared" ref="I21:L21" si="1">SUM(I12:I20)</f>
        <v>2377.2619999999997</v>
      </c>
      <c r="J21" s="230">
        <f t="shared" si="1"/>
        <v>2513.5531999999998</v>
      </c>
      <c r="K21" s="230">
        <f t="shared" si="1"/>
        <v>2948.2871999999998</v>
      </c>
      <c r="L21" s="230">
        <f t="shared" si="1"/>
        <v>3252.1271999999999</v>
      </c>
    </row>
    <row r="22" spans="1:17" ht="15" customHeight="1" x14ac:dyDescent="0.3">
      <c r="A22" s="223"/>
      <c r="B22" s="223"/>
      <c r="C22" s="223"/>
      <c r="D22" s="225" t="s">
        <v>423</v>
      </c>
      <c r="E22" s="222" t="s">
        <v>543</v>
      </c>
      <c r="F22" s="222"/>
      <c r="G22" s="222"/>
      <c r="H22" s="231">
        <f>H10-H21</f>
        <v>243.65350000000035</v>
      </c>
      <c r="I22" s="231">
        <f t="shared" ref="I22:L22" si="2">I10-I21</f>
        <v>379.66750000000002</v>
      </c>
      <c r="J22" s="231">
        <f t="shared" si="2"/>
        <v>423.57900000000018</v>
      </c>
      <c r="K22" s="231">
        <f t="shared" si="2"/>
        <v>225.67410000000018</v>
      </c>
      <c r="L22" s="231">
        <f t="shared" si="2"/>
        <v>543.62100000000009</v>
      </c>
    </row>
    <row r="23" spans="1:17" ht="15" customHeight="1" x14ac:dyDescent="0.3">
      <c r="A23" s="223"/>
      <c r="B23" s="223"/>
      <c r="C23" s="223"/>
      <c r="D23" s="225" t="s">
        <v>424</v>
      </c>
      <c r="E23" s="113" t="s">
        <v>543</v>
      </c>
      <c r="F23" s="113"/>
      <c r="G23" s="113"/>
      <c r="H23" s="226">
        <v>0</v>
      </c>
      <c r="I23" s="226">
        <v>0</v>
      </c>
      <c r="J23" s="226">
        <v>0</v>
      </c>
      <c r="K23" s="226">
        <v>0</v>
      </c>
      <c r="L23" s="226">
        <v>11.319700000000001</v>
      </c>
    </row>
    <row r="24" spans="1:17" ht="15" customHeight="1" x14ac:dyDescent="0.3">
      <c r="A24" s="223"/>
      <c r="B24" s="223"/>
      <c r="C24" s="223"/>
      <c r="D24" s="228" t="s">
        <v>425</v>
      </c>
      <c r="E24" s="229" t="s">
        <v>543</v>
      </c>
      <c r="F24" s="229"/>
      <c r="G24" s="229"/>
      <c r="H24" s="230">
        <f>H22-H23</f>
        <v>243.65350000000035</v>
      </c>
      <c r="I24" s="230">
        <f t="shared" ref="I24:L24" si="3">I22-I23</f>
        <v>379.66750000000002</v>
      </c>
      <c r="J24" s="230">
        <f t="shared" si="3"/>
        <v>423.57900000000018</v>
      </c>
      <c r="K24" s="230">
        <f t="shared" si="3"/>
        <v>225.67410000000018</v>
      </c>
      <c r="L24" s="230">
        <f t="shared" si="3"/>
        <v>532.30130000000008</v>
      </c>
    </row>
    <row r="25" spans="1:17" ht="15" customHeight="1" x14ac:dyDescent="0.3">
      <c r="A25" s="223"/>
      <c r="B25" s="223"/>
      <c r="C25" s="223"/>
      <c r="D25" s="225" t="s">
        <v>426</v>
      </c>
      <c r="E25" s="113" t="s">
        <v>543</v>
      </c>
      <c r="F25" s="113"/>
      <c r="G25" s="113"/>
      <c r="H25" s="226"/>
      <c r="I25" s="226"/>
      <c r="J25" s="226"/>
      <c r="K25" s="226"/>
      <c r="L25" s="226"/>
    </row>
    <row r="26" spans="1:17" ht="15" customHeight="1" x14ac:dyDescent="0.3">
      <c r="A26" s="223"/>
      <c r="B26" s="223"/>
      <c r="C26" s="223"/>
      <c r="D26" s="227" t="s">
        <v>427</v>
      </c>
      <c r="E26" s="113" t="s">
        <v>543</v>
      </c>
      <c r="F26" s="222"/>
      <c r="G26" s="222"/>
      <c r="H26" s="226">
        <v>39.517199999999995</v>
      </c>
      <c r="I26" s="226">
        <v>67.215699999999998</v>
      </c>
      <c r="J26" s="226">
        <v>78.599400000000003</v>
      </c>
      <c r="K26" s="226">
        <v>59.863300000000002</v>
      </c>
      <c r="L26" s="226">
        <v>101.7165</v>
      </c>
    </row>
    <row r="27" spans="1:17" ht="15" customHeight="1" x14ac:dyDescent="0.3">
      <c r="A27" s="223"/>
      <c r="B27" s="223"/>
      <c r="C27" s="223"/>
      <c r="D27" s="227" t="s">
        <v>428</v>
      </c>
      <c r="E27" s="113" t="s">
        <v>543</v>
      </c>
      <c r="F27" s="113"/>
      <c r="G27" s="113"/>
      <c r="H27" s="226">
        <v>-42.613900000000001</v>
      </c>
      <c r="I27" s="226">
        <v>72.445099999999996</v>
      </c>
      <c r="J27" s="226">
        <v>55.722900000000003</v>
      </c>
      <c r="K27" s="226">
        <v>-3.0114999999999998</v>
      </c>
      <c r="L27" s="226">
        <v>39.732199999999999</v>
      </c>
    </row>
    <row r="28" spans="1:17" ht="15" customHeight="1" x14ac:dyDescent="0.3">
      <c r="A28" s="223"/>
      <c r="B28" s="223"/>
      <c r="C28" s="223"/>
      <c r="D28" s="227" t="s">
        <v>429</v>
      </c>
      <c r="E28" s="113" t="s">
        <v>543</v>
      </c>
      <c r="F28" s="113"/>
      <c r="G28" s="113"/>
      <c r="H28" s="226">
        <v>-2.46E-2</v>
      </c>
      <c r="I28" s="226">
        <v>-7.5974000000000004</v>
      </c>
      <c r="J28" s="226">
        <v>-5.8536000000000001</v>
      </c>
      <c r="K28" s="226">
        <v>-2.9999999999999997E-4</v>
      </c>
      <c r="L28" s="226">
        <v>0.3967</v>
      </c>
    </row>
    <row r="29" spans="1:17" ht="15" customHeight="1" x14ac:dyDescent="0.3">
      <c r="A29" s="223"/>
      <c r="B29" s="223"/>
      <c r="C29" s="223"/>
      <c r="D29" s="225" t="s">
        <v>430</v>
      </c>
      <c r="E29" s="113" t="s">
        <v>543</v>
      </c>
      <c r="F29" s="222"/>
      <c r="G29" s="222"/>
      <c r="H29" s="226">
        <f>(SUM(H26:H28))/100</f>
        <v>-3.1213000000000057E-2</v>
      </c>
      <c r="I29" s="226">
        <f>(SUM(I26:I28))/100</f>
        <v>1.3206340000000001</v>
      </c>
      <c r="J29" s="226">
        <f>(SUM(J26:J28))/100</f>
        <v>1.2846870000000001</v>
      </c>
      <c r="K29" s="226">
        <f>(SUM(K26:K28))/100</f>
        <v>0.56851499999999999</v>
      </c>
      <c r="L29" s="226">
        <f>(SUM(L26:L28))/100</f>
        <v>1.4184540000000001</v>
      </c>
    </row>
    <row r="30" spans="1:17" ht="15" customHeight="1" thickBot="1" x14ac:dyDescent="0.35">
      <c r="A30" s="223"/>
      <c r="B30" s="223"/>
      <c r="C30" s="223"/>
      <c r="D30" s="232" t="s">
        <v>431</v>
      </c>
      <c r="E30" s="233" t="s">
        <v>543</v>
      </c>
      <c r="F30" s="233"/>
      <c r="G30" s="233"/>
      <c r="H30" s="234">
        <f>H24-H29</f>
        <v>243.68471300000036</v>
      </c>
      <c r="I30" s="234">
        <f t="shared" ref="I30:L30" si="4">I24-I29</f>
        <v>378.34686600000003</v>
      </c>
      <c r="J30" s="234">
        <f t="shared" si="4"/>
        <v>422.29431300000016</v>
      </c>
      <c r="K30" s="234">
        <f t="shared" si="4"/>
        <v>225.10558500000019</v>
      </c>
      <c r="L30" s="234">
        <f t="shared" si="4"/>
        <v>530.88284600000009</v>
      </c>
    </row>
    <row r="31" spans="1:17" ht="15" customHeight="1" thickTop="1" x14ac:dyDescent="0.3">
      <c r="A31" s="223"/>
      <c r="B31" s="223"/>
      <c r="C31" s="223"/>
      <c r="D31" s="225"/>
      <c r="E31" s="222"/>
      <c r="F31" s="222"/>
      <c r="G31" s="222"/>
      <c r="H31" s="231"/>
      <c r="I31" s="231"/>
      <c r="J31" s="231"/>
      <c r="K31" s="231"/>
      <c r="L31" s="231"/>
    </row>
    <row r="32" spans="1:17" x14ac:dyDescent="0.3">
      <c r="A32" s="223"/>
      <c r="B32" s="223"/>
      <c r="C32" s="223"/>
      <c r="D32" s="225" t="s">
        <v>432</v>
      </c>
      <c r="E32" s="113"/>
      <c r="F32" s="113"/>
      <c r="G32" s="113"/>
      <c r="H32" s="226"/>
      <c r="I32" s="226"/>
      <c r="J32" s="226"/>
      <c r="K32" s="226"/>
      <c r="L32" s="226"/>
    </row>
    <row r="33" spans="1:12" x14ac:dyDescent="0.3">
      <c r="A33" s="223"/>
      <c r="B33" s="223"/>
      <c r="C33" s="223"/>
      <c r="D33" s="227" t="s">
        <v>433</v>
      </c>
      <c r="E33" s="222"/>
      <c r="F33" s="222"/>
      <c r="G33" s="222"/>
      <c r="H33" s="226">
        <v>6.04</v>
      </c>
      <c r="I33" s="226">
        <v>6.13</v>
      </c>
      <c r="J33" s="226">
        <v>7.3</v>
      </c>
      <c r="K33" s="226">
        <v>4.18</v>
      </c>
      <c r="L33" s="226">
        <v>9.73</v>
      </c>
    </row>
    <row r="34" spans="1:12" x14ac:dyDescent="0.3">
      <c r="A34" s="223"/>
      <c r="B34" s="223"/>
      <c r="C34" s="223"/>
      <c r="D34" s="227" t="s">
        <v>434</v>
      </c>
      <c r="E34" s="113"/>
      <c r="F34" s="113"/>
      <c r="G34" s="113"/>
      <c r="H34" s="226">
        <v>6.04</v>
      </c>
      <c r="I34" s="226">
        <v>6.13</v>
      </c>
      <c r="J34" s="226">
        <v>7.3</v>
      </c>
      <c r="K34" s="226">
        <v>4.18</v>
      </c>
      <c r="L34" s="226">
        <v>9.73</v>
      </c>
    </row>
    <row r="35" spans="1:12" x14ac:dyDescent="0.3">
      <c r="A35" s="223"/>
      <c r="B35" s="223"/>
      <c r="C35" s="223"/>
      <c r="D35" s="227" t="s">
        <v>435</v>
      </c>
      <c r="E35" s="113"/>
      <c r="F35" s="113"/>
      <c r="G35" s="113"/>
      <c r="H35" s="226"/>
      <c r="I35" s="226"/>
      <c r="J35" s="226"/>
      <c r="K35" s="226"/>
      <c r="L35" s="226"/>
    </row>
    <row r="36" spans="1:12" x14ac:dyDescent="0.3">
      <c r="A36" s="223"/>
      <c r="B36" s="223"/>
      <c r="C36" s="223"/>
      <c r="D36" s="222"/>
      <c r="E36" s="222"/>
      <c r="F36" s="222"/>
      <c r="G36" s="222"/>
      <c r="H36" s="226"/>
      <c r="I36" s="226"/>
      <c r="J36" s="226"/>
      <c r="K36" s="226"/>
      <c r="L36" s="226"/>
    </row>
    <row r="37" spans="1:12" x14ac:dyDescent="0.3">
      <c r="A37" s="221" t="s">
        <v>24</v>
      </c>
      <c r="B37" s="221"/>
      <c r="C37" s="223"/>
      <c r="D37" s="222"/>
      <c r="E37" s="222"/>
      <c r="F37" s="222"/>
      <c r="G37" s="222"/>
      <c r="H37" s="226"/>
      <c r="I37" s="226"/>
      <c r="J37" s="226"/>
      <c r="K37" s="226"/>
      <c r="L37" s="226"/>
    </row>
    <row r="38" spans="1:12" ht="15.6" x14ac:dyDescent="0.3">
      <c r="A38" s="223"/>
      <c r="B38" s="223"/>
      <c r="C38" s="223"/>
      <c r="D38" s="218"/>
      <c r="E38" s="113"/>
      <c r="F38" s="113"/>
      <c r="G38" s="113"/>
      <c r="H38" s="226"/>
      <c r="I38" s="226"/>
      <c r="J38" s="226"/>
      <c r="K38" s="226"/>
      <c r="L38" s="226"/>
    </row>
    <row r="39" spans="1:12" x14ac:dyDescent="0.3">
      <c r="A39" s="223"/>
      <c r="B39" s="223"/>
      <c r="C39" s="221"/>
      <c r="D39" s="224" t="s">
        <v>19</v>
      </c>
      <c r="E39" s="113"/>
      <c r="F39" s="113"/>
      <c r="G39" s="113"/>
      <c r="H39" s="226"/>
      <c r="I39" s="226"/>
      <c r="J39" s="226"/>
      <c r="K39" s="226"/>
      <c r="L39" s="226"/>
    </row>
    <row r="40" spans="1:12" x14ac:dyDescent="0.3">
      <c r="A40" s="223"/>
      <c r="B40" s="223"/>
      <c r="C40" s="223"/>
      <c r="D40" s="235" t="s">
        <v>437</v>
      </c>
      <c r="E40" s="113"/>
      <c r="F40" s="113"/>
      <c r="G40" s="113"/>
      <c r="H40" s="226"/>
      <c r="I40" s="226"/>
      <c r="J40" s="226"/>
      <c r="K40" s="226"/>
      <c r="L40" s="226"/>
    </row>
    <row r="41" spans="1:12" x14ac:dyDescent="0.3">
      <c r="A41" s="223"/>
      <c r="B41" s="223"/>
      <c r="C41" s="223"/>
      <c r="D41" s="235" t="s">
        <v>3</v>
      </c>
      <c r="E41" s="113"/>
      <c r="F41" s="113"/>
      <c r="G41" s="113"/>
      <c r="H41" s="226"/>
      <c r="I41" s="226"/>
      <c r="J41" s="226"/>
      <c r="K41" s="226"/>
      <c r="L41" s="226"/>
    </row>
    <row r="42" spans="1:12" x14ac:dyDescent="0.3">
      <c r="A42" s="223"/>
      <c r="B42" s="223"/>
      <c r="C42" s="223"/>
      <c r="D42" s="236" t="s">
        <v>438</v>
      </c>
      <c r="E42" s="113" t="s">
        <v>543</v>
      </c>
      <c r="F42" s="113"/>
      <c r="G42" s="113"/>
      <c r="H42" s="226">
        <v>908.29130000000009</v>
      </c>
      <c r="I42" s="226">
        <v>873.2595</v>
      </c>
      <c r="J42" s="226">
        <v>1396.4168</v>
      </c>
      <c r="K42" s="226">
        <v>2400.5821000000001</v>
      </c>
      <c r="L42" s="226">
        <v>2589.2979</v>
      </c>
    </row>
    <row r="43" spans="1:12" x14ac:dyDescent="0.3">
      <c r="A43" s="223"/>
      <c r="B43" s="223"/>
      <c r="C43" s="223"/>
      <c r="D43" s="236" t="s">
        <v>439</v>
      </c>
      <c r="E43" s="113" t="s">
        <v>543</v>
      </c>
      <c r="F43" s="113"/>
      <c r="G43" s="113"/>
      <c r="H43" s="226">
        <v>104.54950000000001</v>
      </c>
      <c r="I43" s="226">
        <v>550.62</v>
      </c>
      <c r="J43" s="226">
        <v>1019.0492999999999</v>
      </c>
      <c r="K43" s="226">
        <v>219.88990000000001</v>
      </c>
      <c r="L43" s="226">
        <v>94.798500000000004</v>
      </c>
    </row>
    <row r="44" spans="1:12" x14ac:dyDescent="0.3">
      <c r="A44" s="223"/>
      <c r="B44" s="223"/>
      <c r="C44" s="223"/>
      <c r="D44" s="236" t="s">
        <v>440</v>
      </c>
      <c r="E44" s="113" t="s">
        <v>543</v>
      </c>
      <c r="F44" s="113"/>
      <c r="G44" s="113"/>
      <c r="H44" s="226">
        <v>14.918699999999999</v>
      </c>
      <c r="I44" s="226">
        <v>13.700699999999999</v>
      </c>
      <c r="J44" s="226">
        <v>17.0336</v>
      </c>
      <c r="K44" s="226">
        <v>12.4551</v>
      </c>
      <c r="L44" s="226">
        <v>17.600000000000001</v>
      </c>
    </row>
    <row r="45" spans="1:12" x14ac:dyDescent="0.3">
      <c r="A45" s="223"/>
      <c r="B45" s="223"/>
      <c r="C45" s="223"/>
      <c r="D45" s="236" t="s">
        <v>441</v>
      </c>
      <c r="E45" s="113" t="s">
        <v>543</v>
      </c>
      <c r="F45" s="113"/>
      <c r="G45" s="113"/>
      <c r="H45" s="226">
        <v>0.26250000000000001</v>
      </c>
      <c r="I45" s="226">
        <v>3.9811999999999999</v>
      </c>
      <c r="J45" s="226">
        <v>2.4769000000000001</v>
      </c>
      <c r="K45" s="226">
        <v>7.5037000000000003</v>
      </c>
      <c r="L45" s="226">
        <v>4.8841000000000001</v>
      </c>
    </row>
    <row r="46" spans="1:12" x14ac:dyDescent="0.3">
      <c r="A46" s="223"/>
      <c r="B46" s="223"/>
      <c r="C46" s="223"/>
      <c r="D46" s="236" t="s">
        <v>442</v>
      </c>
      <c r="E46" s="113" t="s">
        <v>543</v>
      </c>
      <c r="F46" s="113"/>
      <c r="G46" s="113"/>
      <c r="H46" s="226">
        <v>4.5083000000000002</v>
      </c>
      <c r="I46" s="226">
        <v>0</v>
      </c>
      <c r="J46" s="226">
        <v>2.5499999999999998</v>
      </c>
      <c r="K46" s="226">
        <v>0</v>
      </c>
      <c r="L46" s="226">
        <v>0</v>
      </c>
    </row>
    <row r="47" spans="1:12" x14ac:dyDescent="0.3">
      <c r="A47" s="223"/>
      <c r="B47" s="223"/>
      <c r="C47" s="223"/>
      <c r="D47" s="236" t="s">
        <v>443</v>
      </c>
      <c r="E47" s="113" t="s">
        <v>543</v>
      </c>
      <c r="F47" s="113"/>
      <c r="G47" s="113"/>
      <c r="H47" s="226">
        <v>0</v>
      </c>
      <c r="I47" s="226">
        <v>0</v>
      </c>
      <c r="J47" s="226">
        <v>0</v>
      </c>
      <c r="K47" s="226">
        <v>0</v>
      </c>
      <c r="L47" s="226">
        <v>0</v>
      </c>
    </row>
    <row r="48" spans="1:12" x14ac:dyDescent="0.3">
      <c r="A48" s="223"/>
      <c r="B48" s="223"/>
      <c r="C48" s="223"/>
      <c r="D48" s="236" t="s">
        <v>444</v>
      </c>
      <c r="E48" s="113" t="s">
        <v>543</v>
      </c>
      <c r="F48" s="113"/>
      <c r="G48" s="113"/>
      <c r="H48" s="226">
        <v>167.26750000000001</v>
      </c>
      <c r="I48" s="226">
        <v>172.54930000000002</v>
      </c>
      <c r="J48" s="226">
        <v>1.9875</v>
      </c>
      <c r="K48" s="226">
        <v>2.0221999999999998</v>
      </c>
      <c r="L48" s="226">
        <v>258.36259999999999</v>
      </c>
    </row>
    <row r="49" spans="1:12" x14ac:dyDescent="0.3">
      <c r="A49" s="223"/>
      <c r="B49" s="223"/>
      <c r="C49" s="223"/>
      <c r="D49" s="236" t="s">
        <v>445</v>
      </c>
      <c r="E49" s="113" t="s">
        <v>543</v>
      </c>
      <c r="F49" s="113"/>
      <c r="G49" s="113"/>
      <c r="H49" s="226">
        <v>0</v>
      </c>
      <c r="I49" s="226">
        <v>0</v>
      </c>
      <c r="J49" s="226">
        <v>17.106400000000001</v>
      </c>
      <c r="K49" s="226">
        <v>15.406400000000001</v>
      </c>
      <c r="L49" s="226">
        <v>17.206400000000002</v>
      </c>
    </row>
    <row r="50" spans="1:12" x14ac:dyDescent="0.3">
      <c r="A50" s="223"/>
      <c r="B50" s="223"/>
      <c r="C50" s="223"/>
      <c r="D50" s="236" t="s">
        <v>446</v>
      </c>
      <c r="E50" s="113" t="s">
        <v>543</v>
      </c>
      <c r="F50" s="113"/>
      <c r="G50" s="113"/>
      <c r="H50" s="226">
        <v>122.824</v>
      </c>
      <c r="I50" s="226">
        <v>53.257100000000001</v>
      </c>
      <c r="J50" s="226">
        <v>21.358600000000003</v>
      </c>
      <c r="K50" s="226">
        <v>23.510300000000001</v>
      </c>
      <c r="L50" s="226">
        <v>27.0245</v>
      </c>
    </row>
    <row r="51" spans="1:12" x14ac:dyDescent="0.3">
      <c r="A51" s="223"/>
      <c r="B51" s="223"/>
      <c r="C51" s="223"/>
      <c r="D51" s="236" t="s">
        <v>447</v>
      </c>
      <c r="E51" s="113" t="s">
        <v>543</v>
      </c>
      <c r="F51" s="113"/>
      <c r="G51" s="113"/>
      <c r="H51" s="226">
        <v>353.92010000000005</v>
      </c>
      <c r="I51" s="226">
        <v>289.03960000000001</v>
      </c>
      <c r="J51" s="226">
        <v>240.08340000000001</v>
      </c>
      <c r="K51" s="226">
        <v>243.08680000000001</v>
      </c>
      <c r="L51" s="226">
        <v>203.465</v>
      </c>
    </row>
    <row r="52" spans="1:12" x14ac:dyDescent="0.3">
      <c r="A52" s="223"/>
      <c r="B52" s="223"/>
      <c r="C52" s="223"/>
      <c r="D52" s="236" t="s">
        <v>448</v>
      </c>
      <c r="E52" s="113" t="s">
        <v>543</v>
      </c>
      <c r="F52" s="113"/>
      <c r="G52" s="113"/>
      <c r="H52" s="226">
        <v>11.079000000000001</v>
      </c>
      <c r="I52" s="226">
        <v>10.5731</v>
      </c>
      <c r="J52" s="226">
        <v>10.601199999999999</v>
      </c>
      <c r="K52" s="226">
        <v>19.508800000000001</v>
      </c>
      <c r="L52" s="226">
        <v>25.6768</v>
      </c>
    </row>
    <row r="53" spans="1:12" x14ac:dyDescent="0.3">
      <c r="A53" s="223"/>
      <c r="B53" s="223"/>
      <c r="C53" s="223"/>
      <c r="D53" s="236" t="s">
        <v>449</v>
      </c>
      <c r="E53" s="113" t="s">
        <v>543</v>
      </c>
      <c r="F53" s="113"/>
      <c r="G53" s="113"/>
      <c r="H53" s="226">
        <v>92.985699999999994</v>
      </c>
      <c r="I53" s="226">
        <v>166.9932</v>
      </c>
      <c r="J53" s="226">
        <v>108.01139999999999</v>
      </c>
      <c r="K53" s="226">
        <v>128.2243</v>
      </c>
      <c r="L53" s="226">
        <v>207.06400000000002</v>
      </c>
    </row>
    <row r="54" spans="1:12" x14ac:dyDescent="0.3">
      <c r="A54" s="223"/>
      <c r="B54" s="223"/>
      <c r="C54" s="223"/>
      <c r="D54" s="237" t="s">
        <v>5</v>
      </c>
      <c r="E54" s="229" t="s">
        <v>543</v>
      </c>
      <c r="F54" s="229"/>
      <c r="G54" s="229"/>
      <c r="H54" s="230">
        <f>SUM(H42:H53)</f>
        <v>1780.6066000000001</v>
      </c>
      <c r="I54" s="230">
        <f t="shared" ref="I54:L54" si="5">SUM(I42:I53)</f>
        <v>2133.9737000000005</v>
      </c>
      <c r="J54" s="230">
        <f t="shared" si="5"/>
        <v>2836.6751000000004</v>
      </c>
      <c r="K54" s="230">
        <f t="shared" si="5"/>
        <v>3072.1896000000002</v>
      </c>
      <c r="L54" s="230">
        <f t="shared" si="5"/>
        <v>3445.3798000000002</v>
      </c>
    </row>
    <row r="55" spans="1:12" x14ac:dyDescent="0.3">
      <c r="A55" s="223"/>
      <c r="B55" s="223"/>
      <c r="C55" s="223"/>
      <c r="D55" s="235" t="s">
        <v>6</v>
      </c>
      <c r="E55" s="113"/>
      <c r="F55" s="113"/>
      <c r="G55" s="113"/>
      <c r="H55" s="226"/>
      <c r="I55" s="226"/>
      <c r="J55" s="226"/>
      <c r="K55" s="226"/>
      <c r="L55" s="226"/>
    </row>
    <row r="56" spans="1:12" x14ac:dyDescent="0.3">
      <c r="A56" s="223"/>
      <c r="B56" s="223"/>
      <c r="C56" s="223"/>
      <c r="D56" s="236" t="s">
        <v>450</v>
      </c>
      <c r="E56" s="113" t="s">
        <v>543</v>
      </c>
      <c r="F56" s="113"/>
      <c r="G56" s="113"/>
      <c r="H56" s="226">
        <v>195.29519999999999</v>
      </c>
      <c r="I56" s="226">
        <v>374.11160000000001</v>
      </c>
      <c r="J56" s="226">
        <v>334.96350000000001</v>
      </c>
      <c r="K56" s="226">
        <v>446.35360000000003</v>
      </c>
      <c r="L56" s="226">
        <v>465.60509999999999</v>
      </c>
    </row>
    <row r="57" spans="1:12" x14ac:dyDescent="0.3">
      <c r="A57" s="223"/>
      <c r="B57" s="223"/>
      <c r="C57" s="223"/>
      <c r="D57" s="236" t="s">
        <v>451</v>
      </c>
      <c r="E57" s="113"/>
      <c r="F57" s="113"/>
      <c r="G57" s="113"/>
      <c r="H57" s="226"/>
      <c r="I57" s="226"/>
      <c r="J57" s="226"/>
      <c r="K57" s="226"/>
      <c r="L57" s="226"/>
    </row>
    <row r="58" spans="1:12" x14ac:dyDescent="0.3">
      <c r="A58" s="223"/>
      <c r="B58" s="223"/>
      <c r="C58" s="223"/>
      <c r="D58" s="236" t="s">
        <v>452</v>
      </c>
      <c r="E58" s="113" t="s">
        <v>543</v>
      </c>
      <c r="F58" s="113"/>
      <c r="G58" s="113"/>
      <c r="H58" s="226">
        <v>128.7492</v>
      </c>
      <c r="I58" s="226">
        <v>104.69110000000001</v>
      </c>
      <c r="J58" s="226">
        <v>150.77790000000002</v>
      </c>
      <c r="K58" s="226">
        <v>199.54089999999999</v>
      </c>
      <c r="L58" s="226">
        <v>241.64880000000002</v>
      </c>
    </row>
    <row r="59" spans="1:12" x14ac:dyDescent="0.3">
      <c r="A59" s="223"/>
      <c r="B59" s="223"/>
      <c r="C59" s="223"/>
      <c r="D59" s="236" t="s">
        <v>453</v>
      </c>
      <c r="E59" s="113" t="s">
        <v>543</v>
      </c>
      <c r="F59" s="113"/>
      <c r="G59" s="113"/>
      <c r="H59" s="226">
        <v>8.0754999999999999</v>
      </c>
      <c r="I59" s="226">
        <v>121.6223</v>
      </c>
      <c r="J59" s="226">
        <v>47.786899999999996</v>
      </c>
      <c r="K59" s="226">
        <v>39.846299999999999</v>
      </c>
      <c r="L59" s="226">
        <v>13.1363</v>
      </c>
    </row>
    <row r="60" spans="1:12" x14ac:dyDescent="0.3">
      <c r="A60" s="223"/>
      <c r="B60" s="223"/>
      <c r="C60" s="223"/>
      <c r="D60" s="236" t="s">
        <v>454</v>
      </c>
      <c r="E60" s="113" t="s">
        <v>543</v>
      </c>
      <c r="F60" s="113"/>
      <c r="G60" s="113"/>
      <c r="H60" s="226">
        <v>376.5917</v>
      </c>
      <c r="I60" s="226">
        <v>190.12060000000002</v>
      </c>
      <c r="J60" s="226">
        <v>49.554799999999993</v>
      </c>
      <c r="K60" s="226">
        <v>12.583499999999999</v>
      </c>
      <c r="L60" s="226">
        <v>111.53489999999999</v>
      </c>
    </row>
    <row r="61" spans="1:12" x14ac:dyDescent="0.3">
      <c r="A61" s="223"/>
      <c r="B61" s="223"/>
      <c r="C61" s="223"/>
      <c r="D61" s="236" t="s">
        <v>455</v>
      </c>
      <c r="E61" s="113" t="s">
        <v>543</v>
      </c>
      <c r="F61" s="113"/>
      <c r="G61" s="113"/>
      <c r="H61" s="226">
        <v>34.097700000000003</v>
      </c>
      <c r="I61" s="226">
        <v>17.307000000000002</v>
      </c>
      <c r="J61" s="226">
        <v>3.25</v>
      </c>
      <c r="K61" s="226">
        <v>0.4</v>
      </c>
      <c r="L61" s="226">
        <v>0</v>
      </c>
    </row>
    <row r="62" spans="1:12" x14ac:dyDescent="0.3">
      <c r="A62" s="223"/>
      <c r="B62" s="223"/>
      <c r="C62" s="223"/>
      <c r="D62" s="236" t="s">
        <v>456</v>
      </c>
      <c r="E62" s="113" t="s">
        <v>543</v>
      </c>
      <c r="F62" s="113"/>
      <c r="G62" s="113"/>
      <c r="H62" s="226">
        <v>132.76609999999999</v>
      </c>
      <c r="I62" s="226">
        <v>41.053999999999995</v>
      </c>
      <c r="J62" s="226">
        <v>11.9177</v>
      </c>
      <c r="K62" s="226">
        <v>174.84900000000002</v>
      </c>
      <c r="L62" s="226">
        <v>188.26259999999999</v>
      </c>
    </row>
    <row r="63" spans="1:12" x14ac:dyDescent="0.3">
      <c r="A63" s="223"/>
      <c r="B63" s="223"/>
      <c r="C63" s="223"/>
      <c r="D63" s="236" t="s">
        <v>457</v>
      </c>
      <c r="E63" s="113" t="s">
        <v>543</v>
      </c>
      <c r="F63" s="113"/>
      <c r="G63" s="113"/>
      <c r="H63" s="226">
        <v>88.912599999999998</v>
      </c>
      <c r="I63" s="226">
        <v>148.5197</v>
      </c>
      <c r="J63" s="226">
        <v>167.447</v>
      </c>
      <c r="K63" s="226">
        <v>161.08620000000002</v>
      </c>
      <c r="L63" s="226">
        <v>181.2895</v>
      </c>
    </row>
    <row r="64" spans="1:12" x14ac:dyDescent="0.3">
      <c r="A64" s="223"/>
      <c r="B64" s="223"/>
      <c r="C64" s="223"/>
      <c r="D64" s="237" t="s">
        <v>7</v>
      </c>
      <c r="E64" s="229" t="s">
        <v>543</v>
      </c>
      <c r="F64" s="229"/>
      <c r="G64" s="229"/>
      <c r="H64" s="230">
        <f>SUM(H56:H63)</f>
        <v>964.48799999999994</v>
      </c>
      <c r="I64" s="230">
        <f t="shared" ref="I64:L64" si="6">SUM(I56:I63)</f>
        <v>997.42629999999986</v>
      </c>
      <c r="J64" s="230">
        <f t="shared" si="6"/>
        <v>765.69779999999992</v>
      </c>
      <c r="K64" s="230">
        <f t="shared" si="6"/>
        <v>1034.6595</v>
      </c>
      <c r="L64" s="230">
        <f t="shared" si="6"/>
        <v>1201.4772</v>
      </c>
    </row>
    <row r="65" spans="1:12" ht="15" thickBot="1" x14ac:dyDescent="0.35">
      <c r="A65" s="223"/>
      <c r="B65" s="223"/>
      <c r="C65" s="223"/>
      <c r="D65" s="238" t="s">
        <v>8</v>
      </c>
      <c r="E65" s="233" t="s">
        <v>543</v>
      </c>
      <c r="F65" s="233"/>
      <c r="G65" s="233"/>
      <c r="H65" s="234">
        <f>SUM(H64,H54)</f>
        <v>2745.0945999999999</v>
      </c>
      <c r="I65" s="234">
        <f t="shared" ref="I65:L65" si="7">SUM(I64,I54)</f>
        <v>3131.4000000000005</v>
      </c>
      <c r="J65" s="234">
        <f t="shared" si="7"/>
        <v>3602.3729000000003</v>
      </c>
      <c r="K65" s="234">
        <f t="shared" si="7"/>
        <v>4106.8491000000004</v>
      </c>
      <c r="L65" s="234">
        <f t="shared" si="7"/>
        <v>4646.857</v>
      </c>
    </row>
    <row r="66" spans="1:12" ht="15" thickTop="1" x14ac:dyDescent="0.3">
      <c r="A66" s="223"/>
      <c r="B66" s="223"/>
      <c r="C66" s="223"/>
      <c r="D66" s="235" t="s">
        <v>458</v>
      </c>
      <c r="E66" s="222"/>
      <c r="F66" s="222"/>
      <c r="G66" s="222"/>
      <c r="H66" s="226"/>
      <c r="I66" s="226"/>
      <c r="J66" s="226"/>
      <c r="K66" s="226"/>
      <c r="L66" s="226"/>
    </row>
    <row r="67" spans="1:12" x14ac:dyDescent="0.3">
      <c r="A67" s="223"/>
      <c r="B67" s="223"/>
      <c r="C67" s="223"/>
      <c r="D67" s="235" t="s">
        <v>9</v>
      </c>
      <c r="E67" s="222"/>
      <c r="F67" s="222"/>
      <c r="G67" s="222"/>
      <c r="H67" s="226"/>
      <c r="I67" s="226"/>
      <c r="J67" s="226"/>
      <c r="K67" s="226"/>
      <c r="L67" s="226"/>
    </row>
    <row r="68" spans="1:12" x14ac:dyDescent="0.3">
      <c r="A68" s="223"/>
      <c r="B68" s="223"/>
      <c r="C68" s="223"/>
      <c r="D68" s="236" t="s">
        <v>459</v>
      </c>
      <c r="E68" s="113" t="s">
        <v>543</v>
      </c>
      <c r="F68" s="113"/>
      <c r="G68" s="113"/>
      <c r="H68" s="226">
        <v>40.417999999999999</v>
      </c>
      <c r="I68" s="226">
        <v>40.417999999999999</v>
      </c>
      <c r="J68" s="226">
        <v>40.417999999999999</v>
      </c>
      <c r="K68" s="226">
        <v>40.417999999999999</v>
      </c>
      <c r="L68" s="226">
        <v>40.417999999999999</v>
      </c>
    </row>
    <row r="69" spans="1:12" x14ac:dyDescent="0.3">
      <c r="A69" s="223"/>
      <c r="B69" s="223"/>
      <c r="C69" s="223"/>
      <c r="D69" s="236" t="s">
        <v>460</v>
      </c>
      <c r="E69" s="113" t="s">
        <v>543</v>
      </c>
      <c r="F69" s="113"/>
      <c r="G69" s="113"/>
      <c r="H69" s="226">
        <v>2128.0160000000001</v>
      </c>
      <c r="I69" s="226">
        <v>2375.9576000000002</v>
      </c>
      <c r="J69" s="226">
        <v>2669.6983</v>
      </c>
      <c r="K69" s="226">
        <v>2838.7768000000001</v>
      </c>
      <c r="L69" s="226">
        <v>3150.7847999999999</v>
      </c>
    </row>
    <row r="70" spans="1:12" x14ac:dyDescent="0.3">
      <c r="A70" s="223"/>
      <c r="B70" s="223"/>
      <c r="C70" s="223"/>
      <c r="D70" s="236" t="s">
        <v>461</v>
      </c>
      <c r="E70" s="113" t="s">
        <v>543</v>
      </c>
      <c r="F70" s="113"/>
      <c r="G70" s="113"/>
      <c r="H70" s="226">
        <v>0</v>
      </c>
      <c r="I70" s="226">
        <v>0</v>
      </c>
      <c r="J70" s="226" t="s">
        <v>436</v>
      </c>
      <c r="K70" s="226">
        <v>-0.25269999999999998</v>
      </c>
      <c r="L70" s="226">
        <v>-3.1216000000000004</v>
      </c>
    </row>
    <row r="71" spans="1:12" x14ac:dyDescent="0.3">
      <c r="A71" s="223"/>
      <c r="B71" s="223"/>
      <c r="C71" s="223"/>
      <c r="D71" s="237" t="s">
        <v>462</v>
      </c>
      <c r="E71" s="229" t="s">
        <v>543</v>
      </c>
      <c r="F71" s="229"/>
      <c r="G71" s="229"/>
      <c r="H71" s="230">
        <f>SUM(H68:H70)</f>
        <v>2168.4340000000002</v>
      </c>
      <c r="I71" s="230">
        <f t="shared" ref="I71:L71" si="8">SUM(I68:I70)</f>
        <v>2416.3756000000003</v>
      </c>
      <c r="J71" s="230">
        <f t="shared" si="8"/>
        <v>2710.1163000000001</v>
      </c>
      <c r="K71" s="230">
        <f t="shared" si="8"/>
        <v>2878.9421000000002</v>
      </c>
      <c r="L71" s="230">
        <f t="shared" si="8"/>
        <v>3188.0812000000001</v>
      </c>
    </row>
    <row r="72" spans="1:12" x14ac:dyDescent="0.3">
      <c r="A72" s="223"/>
      <c r="B72" s="223"/>
      <c r="C72" s="223"/>
      <c r="D72" s="235" t="s">
        <v>10</v>
      </c>
      <c r="E72" s="113"/>
      <c r="F72" s="113"/>
      <c r="G72" s="113"/>
      <c r="H72" s="226"/>
      <c r="I72" s="226"/>
      <c r="J72" s="226"/>
      <c r="K72" s="226"/>
      <c r="L72" s="226"/>
    </row>
    <row r="73" spans="1:12" x14ac:dyDescent="0.3">
      <c r="A73" s="223"/>
      <c r="B73" s="223"/>
      <c r="C73" s="223"/>
      <c r="D73" s="235" t="s">
        <v>11</v>
      </c>
      <c r="E73" s="113"/>
      <c r="F73" s="113"/>
      <c r="G73" s="113"/>
      <c r="H73" s="226"/>
      <c r="I73" s="226"/>
      <c r="J73" s="226"/>
      <c r="K73" s="226"/>
      <c r="L73" s="226"/>
    </row>
    <row r="74" spans="1:12" x14ac:dyDescent="0.3">
      <c r="A74" s="223"/>
      <c r="B74" s="223"/>
      <c r="C74" s="223"/>
      <c r="D74" s="236" t="s">
        <v>463</v>
      </c>
      <c r="E74" s="222"/>
      <c r="F74" s="222"/>
      <c r="G74" s="222"/>
      <c r="H74" s="226"/>
      <c r="I74" s="226"/>
      <c r="J74" s="226"/>
      <c r="K74" s="226"/>
      <c r="L74" s="226"/>
    </row>
    <row r="75" spans="1:12" x14ac:dyDescent="0.3">
      <c r="A75" s="223"/>
      <c r="B75" s="223"/>
      <c r="C75" s="223"/>
      <c r="D75" s="236" t="s">
        <v>464</v>
      </c>
      <c r="E75" s="113" t="s">
        <v>543</v>
      </c>
      <c r="F75" s="113"/>
      <c r="G75" s="113"/>
      <c r="H75" s="226">
        <v>8.0082000000000004</v>
      </c>
      <c r="I75" s="226">
        <v>4.8384</v>
      </c>
      <c r="J75" s="226">
        <v>72.102599999999995</v>
      </c>
      <c r="K75" s="226">
        <v>292.72900000000004</v>
      </c>
      <c r="L75" s="226">
        <v>493.18610000000001</v>
      </c>
    </row>
    <row r="76" spans="1:12" x14ac:dyDescent="0.3">
      <c r="A76" s="223"/>
      <c r="B76" s="223"/>
      <c r="C76" s="223"/>
      <c r="D76" s="236" t="s">
        <v>465</v>
      </c>
      <c r="E76" s="113" t="s">
        <v>543</v>
      </c>
      <c r="F76" s="113"/>
      <c r="G76" s="113"/>
      <c r="H76" s="226">
        <v>155.7354</v>
      </c>
      <c r="I76" s="226">
        <v>166.69369999999998</v>
      </c>
      <c r="J76" s="226">
        <v>12.6647</v>
      </c>
      <c r="K76" s="226">
        <v>7.1703999999999999</v>
      </c>
      <c r="L76" s="226">
        <v>9.1191999999999993</v>
      </c>
    </row>
    <row r="77" spans="1:12" x14ac:dyDescent="0.3">
      <c r="A77" s="223"/>
      <c r="B77" s="223"/>
      <c r="C77" s="223"/>
      <c r="D77" s="236" t="s">
        <v>466</v>
      </c>
      <c r="E77" s="113" t="s">
        <v>543</v>
      </c>
      <c r="F77" s="113"/>
      <c r="G77" s="113"/>
      <c r="H77" s="226">
        <v>4.7932999999999995</v>
      </c>
      <c r="I77" s="226">
        <v>7.7252999999999998</v>
      </c>
      <c r="J77" s="226">
        <v>13.178800000000001</v>
      </c>
      <c r="K77" s="226">
        <v>18.5642</v>
      </c>
      <c r="L77" s="226">
        <v>24.478000000000002</v>
      </c>
    </row>
    <row r="78" spans="1:12" x14ac:dyDescent="0.3">
      <c r="A78" s="223"/>
      <c r="B78" s="223"/>
      <c r="C78" s="223"/>
      <c r="D78" s="236" t="s">
        <v>467</v>
      </c>
      <c r="E78" s="113" t="s">
        <v>543</v>
      </c>
      <c r="F78" s="113"/>
      <c r="G78" s="113"/>
      <c r="H78" s="226">
        <v>8.7713000000000001</v>
      </c>
      <c r="I78" s="226">
        <v>7.2717999999999998</v>
      </c>
      <c r="J78" s="226">
        <v>14.317399999999999</v>
      </c>
      <c r="K78" s="226">
        <v>13.282</v>
      </c>
      <c r="L78" s="226">
        <v>12.4224</v>
      </c>
    </row>
    <row r="79" spans="1:12" x14ac:dyDescent="0.3">
      <c r="A79" s="223"/>
      <c r="B79" s="223"/>
      <c r="C79" s="223"/>
      <c r="D79" s="237" t="s">
        <v>468</v>
      </c>
      <c r="E79" s="229" t="s">
        <v>543</v>
      </c>
      <c r="F79" s="239"/>
      <c r="G79" s="239"/>
      <c r="H79" s="230">
        <f>SUM(H75:H78)</f>
        <v>177.30819999999997</v>
      </c>
      <c r="I79" s="230">
        <f t="shared" ref="I79:L79" si="9">SUM(I75:I78)</f>
        <v>186.5292</v>
      </c>
      <c r="J79" s="230">
        <f t="shared" si="9"/>
        <v>112.26349999999999</v>
      </c>
      <c r="K79" s="230">
        <f t="shared" si="9"/>
        <v>331.74560000000002</v>
      </c>
      <c r="L79" s="230">
        <f t="shared" si="9"/>
        <v>539.20569999999998</v>
      </c>
    </row>
    <row r="80" spans="1:12" x14ac:dyDescent="0.3">
      <c r="A80" s="223"/>
      <c r="B80" s="223"/>
      <c r="C80" s="223"/>
      <c r="D80" s="235" t="s">
        <v>12</v>
      </c>
      <c r="E80" s="113"/>
      <c r="F80" s="113"/>
      <c r="G80" s="113"/>
      <c r="H80" s="226"/>
      <c r="I80" s="226"/>
      <c r="J80" s="226"/>
      <c r="K80" s="226"/>
      <c r="L80" s="226"/>
    </row>
    <row r="81" spans="1:12" x14ac:dyDescent="0.3">
      <c r="A81" s="223"/>
      <c r="B81" s="223"/>
      <c r="C81" s="223"/>
      <c r="D81" s="236" t="s">
        <v>469</v>
      </c>
      <c r="E81" s="113"/>
      <c r="F81" s="113"/>
      <c r="G81" s="113"/>
      <c r="H81" s="226"/>
      <c r="I81" s="226"/>
      <c r="J81" s="226"/>
      <c r="K81" s="226"/>
      <c r="L81" s="226"/>
    </row>
    <row r="82" spans="1:12" x14ac:dyDescent="0.3">
      <c r="A82" s="223"/>
      <c r="B82" s="223"/>
      <c r="C82" s="223"/>
      <c r="D82" s="236" t="s">
        <v>470</v>
      </c>
      <c r="E82" s="113" t="s">
        <v>543</v>
      </c>
      <c r="F82" s="113"/>
      <c r="G82" s="113"/>
      <c r="H82" s="226">
        <v>5.3777999999999997</v>
      </c>
      <c r="I82" s="226">
        <v>26.1035</v>
      </c>
      <c r="J82" s="226">
        <v>57.726400000000005</v>
      </c>
      <c r="K82" s="226">
        <v>97.3643</v>
      </c>
      <c r="L82" s="226">
        <v>93.001100000000008</v>
      </c>
    </row>
    <row r="83" spans="1:12" x14ac:dyDescent="0.3">
      <c r="A83" s="223"/>
      <c r="B83" s="223"/>
      <c r="C83" s="223"/>
      <c r="D83" s="236" t="s">
        <v>471</v>
      </c>
      <c r="E83" s="113" t="s">
        <v>543</v>
      </c>
      <c r="F83" s="222"/>
      <c r="G83" s="222"/>
      <c r="H83" s="226">
        <v>2.2662999999999998</v>
      </c>
      <c r="I83" s="226">
        <v>4.4085999999999999</v>
      </c>
      <c r="J83" s="226">
        <v>4.4492000000000003</v>
      </c>
      <c r="K83" s="226">
        <v>5.4944000000000006</v>
      </c>
      <c r="L83" s="226">
        <v>8.0178999999999991</v>
      </c>
    </row>
    <row r="84" spans="1:12" x14ac:dyDescent="0.3">
      <c r="A84" s="223"/>
      <c r="B84" s="223"/>
      <c r="C84" s="223"/>
      <c r="D84" s="236" t="s">
        <v>472</v>
      </c>
      <c r="E84" s="113" t="s">
        <v>543</v>
      </c>
      <c r="F84" s="113"/>
      <c r="G84" s="113"/>
      <c r="H84" s="226">
        <v>0</v>
      </c>
      <c r="I84" s="226">
        <v>0</v>
      </c>
      <c r="J84" s="226">
        <v>0</v>
      </c>
      <c r="K84" s="226">
        <v>0</v>
      </c>
      <c r="L84" s="226">
        <v>0</v>
      </c>
    </row>
    <row r="85" spans="1:12" x14ac:dyDescent="0.3">
      <c r="A85" s="223"/>
      <c r="B85" s="223"/>
      <c r="C85" s="223"/>
      <c r="D85" s="240" t="s">
        <v>514</v>
      </c>
      <c r="E85" s="113" t="s">
        <v>543</v>
      </c>
      <c r="F85" s="113"/>
      <c r="G85" s="113"/>
      <c r="H85" s="226">
        <v>4.9824999999999999</v>
      </c>
      <c r="I85" s="226">
        <v>9.4230999999999998</v>
      </c>
      <c r="J85" s="226">
        <v>37.083500000000001</v>
      </c>
      <c r="K85" s="226">
        <v>54.957999999999998</v>
      </c>
      <c r="L85" s="226">
        <v>129.69</v>
      </c>
    </row>
    <row r="86" spans="1:12" ht="14.4" customHeight="1" x14ac:dyDescent="0.3">
      <c r="A86" s="223"/>
      <c r="B86" s="223"/>
      <c r="C86" s="223"/>
      <c r="D86" s="240" t="s">
        <v>513</v>
      </c>
      <c r="E86" s="113" t="s">
        <v>543</v>
      </c>
      <c r="F86" s="113"/>
      <c r="G86" s="113"/>
      <c r="H86" s="226">
        <v>207.47099999999998</v>
      </c>
      <c r="I86" s="226">
        <v>272.61930000000001</v>
      </c>
      <c r="J86" s="226">
        <v>181.5787</v>
      </c>
      <c r="K86" s="226">
        <v>177.5829</v>
      </c>
      <c r="L86" s="226">
        <v>127.5176</v>
      </c>
    </row>
    <row r="87" spans="1:12" x14ac:dyDescent="0.3">
      <c r="A87" s="223"/>
      <c r="B87" s="223"/>
      <c r="C87" s="223"/>
      <c r="D87" s="236" t="s">
        <v>473</v>
      </c>
      <c r="E87" s="113" t="s">
        <v>543</v>
      </c>
      <c r="F87" s="113"/>
      <c r="G87" s="113"/>
      <c r="H87" s="226">
        <v>86.625799999999998</v>
      </c>
      <c r="I87" s="226">
        <v>136.3938</v>
      </c>
      <c r="J87" s="226">
        <v>399.95959999999997</v>
      </c>
      <c r="K87" s="226">
        <v>403.71019999999999</v>
      </c>
      <c r="L87" s="226">
        <v>316.73099999999999</v>
      </c>
    </row>
    <row r="88" spans="1:12" x14ac:dyDescent="0.3">
      <c r="A88" s="223"/>
      <c r="B88" s="223"/>
      <c r="C88" s="223"/>
      <c r="D88" s="236" t="s">
        <v>474</v>
      </c>
      <c r="E88" s="113" t="s">
        <v>543</v>
      </c>
      <c r="F88" s="113"/>
      <c r="G88" s="113"/>
      <c r="H88" s="226">
        <v>88.871700000000004</v>
      </c>
      <c r="I88" s="226">
        <v>76.476900000000001</v>
      </c>
      <c r="J88" s="226">
        <v>92.918400000000005</v>
      </c>
      <c r="K88" s="226">
        <v>152.6181</v>
      </c>
      <c r="L88" s="226">
        <v>240.49759999999998</v>
      </c>
    </row>
    <row r="89" spans="1:12" x14ac:dyDescent="0.3">
      <c r="A89" s="223"/>
      <c r="B89" s="223"/>
      <c r="C89" s="223"/>
      <c r="D89" s="236" t="s">
        <v>475</v>
      </c>
      <c r="E89" s="113" t="s">
        <v>543</v>
      </c>
      <c r="F89" s="113"/>
      <c r="G89" s="113"/>
      <c r="H89" s="226">
        <v>1.7886000000000002</v>
      </c>
      <c r="I89" s="226">
        <v>1.9758000000000002</v>
      </c>
      <c r="J89" s="226">
        <v>2.6173999999999999</v>
      </c>
      <c r="K89" s="226">
        <v>0.96299999999999997</v>
      </c>
      <c r="L89" s="226">
        <v>1.1789000000000001</v>
      </c>
    </row>
    <row r="90" spans="1:12" x14ac:dyDescent="0.3">
      <c r="A90" s="223"/>
      <c r="B90" s="223"/>
      <c r="C90" s="223"/>
      <c r="D90" s="236" t="s">
        <v>476</v>
      </c>
      <c r="E90" s="113" t="s">
        <v>543</v>
      </c>
      <c r="F90" s="113"/>
      <c r="G90" s="113"/>
      <c r="H90" s="226">
        <v>1.9687000000000001</v>
      </c>
      <c r="I90" s="226">
        <v>1.0942000000000001</v>
      </c>
      <c r="J90" s="226">
        <v>3.6598999999999999</v>
      </c>
      <c r="K90" s="226">
        <v>3.4704999999999999</v>
      </c>
      <c r="L90" s="226">
        <v>2.9360000000000004</v>
      </c>
    </row>
    <row r="91" spans="1:12" x14ac:dyDescent="0.3">
      <c r="A91" s="223"/>
      <c r="B91" s="223"/>
      <c r="C91" s="223"/>
      <c r="D91" s="237" t="s">
        <v>13</v>
      </c>
      <c r="E91" s="229" t="s">
        <v>543</v>
      </c>
      <c r="F91" s="229"/>
      <c r="G91" s="229"/>
      <c r="H91" s="230">
        <f>SUM(H82:H90)</f>
        <v>399.35239999999999</v>
      </c>
      <c r="I91" s="230">
        <f t="shared" ref="I91:L91" si="10">SUM(I82:I90)</f>
        <v>528.49520000000007</v>
      </c>
      <c r="J91" s="230">
        <f t="shared" si="10"/>
        <v>779.99309999999991</v>
      </c>
      <c r="K91" s="230">
        <f t="shared" si="10"/>
        <v>896.16139999999996</v>
      </c>
      <c r="L91" s="230">
        <f t="shared" si="10"/>
        <v>919.57009999999991</v>
      </c>
    </row>
    <row r="92" spans="1:12" x14ac:dyDescent="0.3">
      <c r="A92" s="223"/>
      <c r="B92" s="223"/>
      <c r="C92" s="223"/>
      <c r="D92" s="237" t="s">
        <v>14</v>
      </c>
      <c r="E92" s="229" t="s">
        <v>543</v>
      </c>
      <c r="F92" s="229"/>
      <c r="G92" s="229"/>
      <c r="H92" s="230">
        <f>H91+H79</f>
        <v>576.66059999999993</v>
      </c>
      <c r="I92" s="230">
        <f t="shared" ref="I92:L92" si="11">I91+I79</f>
        <v>715.02440000000001</v>
      </c>
      <c r="J92" s="230">
        <f t="shared" si="11"/>
        <v>892.25659999999993</v>
      </c>
      <c r="K92" s="230">
        <f t="shared" si="11"/>
        <v>1227.9069999999999</v>
      </c>
      <c r="L92" s="230">
        <f t="shared" si="11"/>
        <v>1458.7757999999999</v>
      </c>
    </row>
    <row r="93" spans="1:12" ht="15" thickBot="1" x14ac:dyDescent="0.35">
      <c r="A93" s="223"/>
      <c r="B93" s="223"/>
      <c r="C93" s="223"/>
      <c r="D93" s="238" t="s">
        <v>15</v>
      </c>
      <c r="E93" s="241" t="s">
        <v>543</v>
      </c>
      <c r="F93" s="241"/>
      <c r="G93" s="241"/>
      <c r="H93" s="242">
        <f>H92+H71</f>
        <v>2745.0946000000004</v>
      </c>
      <c r="I93" s="242">
        <f t="shared" ref="I93:L93" si="12">I92+I71</f>
        <v>3131.4000000000005</v>
      </c>
      <c r="J93" s="242">
        <f t="shared" si="12"/>
        <v>3602.3729000000003</v>
      </c>
      <c r="K93" s="242">
        <f t="shared" si="12"/>
        <v>4106.8491000000004</v>
      </c>
      <c r="L93" s="242">
        <f t="shared" si="12"/>
        <v>4646.857</v>
      </c>
    </row>
    <row r="94" spans="1:12" ht="15" thickTop="1" x14ac:dyDescent="0.3">
      <c r="A94" s="223"/>
      <c r="B94" s="223"/>
      <c r="C94" s="223"/>
      <c r="D94" s="113"/>
      <c r="E94" s="113"/>
      <c r="F94" s="113"/>
      <c r="G94" s="113"/>
      <c r="H94" s="113"/>
      <c r="I94" s="113"/>
      <c r="J94" s="113"/>
      <c r="K94" s="113"/>
      <c r="L94" s="113"/>
    </row>
    <row r="95" spans="1:12" x14ac:dyDescent="0.3">
      <c r="A95" s="223"/>
      <c r="B95" s="223"/>
      <c r="C95" s="223"/>
      <c r="D95" s="113"/>
      <c r="E95" s="222"/>
      <c r="F95" s="222"/>
      <c r="G95" s="222"/>
      <c r="H95" s="226"/>
      <c r="I95" s="226"/>
      <c r="J95" s="226"/>
      <c r="K95" s="226"/>
      <c r="L95" s="226"/>
    </row>
    <row r="96" spans="1:12" x14ac:dyDescent="0.3">
      <c r="A96" s="223"/>
      <c r="B96" s="223"/>
      <c r="C96" s="223"/>
      <c r="D96" s="222"/>
      <c r="E96" s="222"/>
      <c r="F96" s="222"/>
      <c r="G96" s="222"/>
      <c r="H96" s="226"/>
      <c r="I96" s="226"/>
      <c r="J96" s="226"/>
      <c r="K96" s="226"/>
      <c r="L96" s="226"/>
    </row>
    <row r="97" spans="1:15" x14ac:dyDescent="0.3">
      <c r="A97" s="223"/>
      <c r="B97" s="223"/>
      <c r="C97" s="223"/>
      <c r="D97" s="222"/>
      <c r="E97" s="222"/>
      <c r="F97" s="222"/>
      <c r="G97" s="222"/>
      <c r="H97" s="226"/>
      <c r="I97" s="226"/>
      <c r="J97" s="226"/>
      <c r="K97" s="226"/>
      <c r="L97" s="226"/>
    </row>
    <row r="98" spans="1:15" x14ac:dyDescent="0.3">
      <c r="A98" s="223"/>
      <c r="B98" s="223"/>
      <c r="C98" s="223"/>
      <c r="D98" s="222"/>
      <c r="E98" s="113"/>
      <c r="F98" s="113"/>
      <c r="G98" s="113"/>
      <c r="H98" s="226"/>
      <c r="I98" s="226"/>
      <c r="J98" s="226"/>
      <c r="K98" s="226"/>
      <c r="L98" s="226"/>
    </row>
    <row r="99" spans="1:15" x14ac:dyDescent="0.3">
      <c r="A99" s="221" t="s">
        <v>25</v>
      </c>
      <c r="B99" s="221"/>
      <c r="C99" s="223"/>
      <c r="D99" s="113"/>
      <c r="E99" s="222"/>
      <c r="F99" s="222"/>
      <c r="G99" s="222"/>
      <c r="H99" s="226"/>
      <c r="I99" s="226"/>
      <c r="J99" s="226"/>
      <c r="K99" s="226"/>
      <c r="L99" s="226"/>
    </row>
    <row r="100" spans="1:15" x14ac:dyDescent="0.3">
      <c r="A100" s="223"/>
      <c r="B100" s="223"/>
      <c r="C100" s="223"/>
      <c r="D100" s="222"/>
      <c r="E100" s="113"/>
      <c r="F100" s="113"/>
      <c r="G100" s="113"/>
      <c r="H100" s="226"/>
      <c r="I100" s="226"/>
      <c r="J100" s="226"/>
      <c r="K100" s="226"/>
      <c r="L100" s="226"/>
    </row>
    <row r="101" spans="1:15" x14ac:dyDescent="0.3">
      <c r="A101" s="223"/>
      <c r="B101" s="223"/>
      <c r="C101" s="221"/>
      <c r="D101" s="222" t="s">
        <v>19</v>
      </c>
      <c r="E101" s="113"/>
      <c r="F101" s="113"/>
      <c r="G101" s="113"/>
      <c r="H101" s="226"/>
      <c r="I101" s="226"/>
      <c r="J101" s="226"/>
      <c r="K101" s="226"/>
      <c r="L101" s="226"/>
    </row>
    <row r="102" spans="1:15" x14ac:dyDescent="0.3">
      <c r="A102" s="223"/>
      <c r="B102" s="223"/>
      <c r="C102" s="223"/>
      <c r="D102" s="222" t="s">
        <v>477</v>
      </c>
      <c r="E102" s="113"/>
      <c r="F102" s="113"/>
      <c r="G102" s="113"/>
      <c r="H102" s="226">
        <v>0</v>
      </c>
      <c r="I102" s="226">
        <v>0</v>
      </c>
      <c r="J102" s="226">
        <v>0</v>
      </c>
      <c r="K102" s="226">
        <v>0</v>
      </c>
      <c r="L102" s="226">
        <v>0</v>
      </c>
    </row>
    <row r="103" spans="1:15" x14ac:dyDescent="0.3">
      <c r="A103" s="223"/>
      <c r="B103" s="223"/>
      <c r="C103" s="223"/>
      <c r="D103" s="113" t="s">
        <v>2</v>
      </c>
      <c r="E103" s="113"/>
      <c r="F103" s="113"/>
      <c r="G103" s="113"/>
      <c r="H103" s="226">
        <v>243.65349999999998</v>
      </c>
      <c r="I103" s="226">
        <v>379.66750000000002</v>
      </c>
      <c r="J103" s="226">
        <v>423.57900000000001</v>
      </c>
      <c r="K103" s="226">
        <v>225.67410000000001</v>
      </c>
      <c r="L103" s="226">
        <v>543.62099999999998</v>
      </c>
    </row>
    <row r="104" spans="1:15" x14ac:dyDescent="0.3">
      <c r="A104" s="223"/>
      <c r="B104" s="223"/>
      <c r="C104" s="223"/>
      <c r="D104" s="113" t="s">
        <v>478</v>
      </c>
      <c r="E104" s="113"/>
      <c r="F104" s="113"/>
      <c r="G104" s="113"/>
      <c r="H104" s="226">
        <v>0</v>
      </c>
      <c r="I104" s="226">
        <v>0</v>
      </c>
      <c r="J104" s="226">
        <v>0</v>
      </c>
      <c r="K104" s="226">
        <v>0</v>
      </c>
      <c r="L104" s="226">
        <v>0</v>
      </c>
    </row>
    <row r="105" spans="1:15" x14ac:dyDescent="0.3">
      <c r="A105" s="223"/>
      <c r="B105" s="223"/>
      <c r="C105" s="223"/>
      <c r="D105" s="113" t="s">
        <v>479</v>
      </c>
      <c r="E105" s="113"/>
      <c r="F105" s="113"/>
      <c r="G105" s="113"/>
      <c r="H105" s="226">
        <v>119.04389999999999</v>
      </c>
      <c r="I105" s="226">
        <v>128.94589999999999</v>
      </c>
      <c r="J105" s="226">
        <v>141.79049999999998</v>
      </c>
      <c r="K105" s="226">
        <v>326.96769999999998</v>
      </c>
      <c r="L105" s="226">
        <v>358.40870000000001</v>
      </c>
    </row>
    <row r="106" spans="1:15" x14ac:dyDescent="0.3">
      <c r="A106" s="223"/>
      <c r="B106" s="223"/>
      <c r="C106" s="223"/>
      <c r="D106" s="113" t="s">
        <v>480</v>
      </c>
      <c r="E106" s="113"/>
      <c r="F106" s="113"/>
      <c r="G106" s="113"/>
      <c r="H106" s="226">
        <v>2.5855999999999999</v>
      </c>
      <c r="I106" s="226">
        <v>2.1663000000000001</v>
      </c>
      <c r="J106" s="226">
        <v>4.8071999999999999</v>
      </c>
      <c r="K106" s="226">
        <v>4.9428000000000001</v>
      </c>
      <c r="L106" s="226">
        <v>6.8779999999999992</v>
      </c>
    </row>
    <row r="107" spans="1:15" x14ac:dyDescent="0.3">
      <c r="A107" s="223"/>
      <c r="B107" s="223"/>
      <c r="C107" s="223"/>
      <c r="D107" s="113" t="s">
        <v>481</v>
      </c>
      <c r="E107" s="113"/>
      <c r="F107" s="113"/>
      <c r="G107" s="113"/>
      <c r="H107" s="226">
        <v>0</v>
      </c>
      <c r="I107" s="226">
        <v>5.5028999999999995</v>
      </c>
      <c r="J107" s="226">
        <v>-4.7076000000000002</v>
      </c>
      <c r="K107" s="226">
        <v>-3.0213999999999999</v>
      </c>
      <c r="L107" s="226">
        <v>-2.2606999999999999</v>
      </c>
    </row>
    <row r="108" spans="1:15" x14ac:dyDescent="0.3">
      <c r="A108" s="223"/>
      <c r="B108" s="223"/>
      <c r="C108" s="223"/>
      <c r="D108" s="113" t="s">
        <v>482</v>
      </c>
      <c r="E108" s="113"/>
      <c r="F108" s="113"/>
      <c r="G108" s="113"/>
      <c r="H108" s="226">
        <v>4.4400000000000002E-2</v>
      </c>
      <c r="I108" s="226">
        <v>-1.83E-2</v>
      </c>
      <c r="J108" s="226">
        <v>1.1501999999999999</v>
      </c>
      <c r="K108" s="226">
        <v>0.14529999999999998</v>
      </c>
      <c r="L108" s="226">
        <v>-0.15490000000000001</v>
      </c>
    </row>
    <row r="109" spans="1:15" x14ac:dyDescent="0.3">
      <c r="A109" s="223"/>
      <c r="B109" s="223"/>
      <c r="C109" s="223"/>
      <c r="D109" s="113" t="s">
        <v>483</v>
      </c>
      <c r="E109" s="113"/>
      <c r="F109" s="113"/>
      <c r="G109" s="113"/>
      <c r="H109" s="226">
        <v>-33.123800000000003</v>
      </c>
      <c r="I109" s="226">
        <v>-43.347900000000003</v>
      </c>
      <c r="J109" s="226">
        <v>-19.521900000000002</v>
      </c>
      <c r="K109" s="226">
        <v>-3.2033999999999998</v>
      </c>
      <c r="L109" s="226">
        <v>-11.6668</v>
      </c>
    </row>
    <row r="110" spans="1:15" x14ac:dyDescent="0.3">
      <c r="A110" s="223"/>
      <c r="B110" s="223"/>
      <c r="C110" s="223"/>
      <c r="D110" s="113" t="s">
        <v>484</v>
      </c>
      <c r="E110" s="113"/>
      <c r="F110" s="113"/>
      <c r="G110" s="113"/>
      <c r="H110" s="226">
        <v>13.340299999999999</v>
      </c>
      <c r="I110" s="226">
        <v>9.6950000000000003</v>
      </c>
      <c r="J110" s="226">
        <v>12.601199999999999</v>
      </c>
      <c r="K110" s="226">
        <v>31.623100000000001</v>
      </c>
      <c r="L110" s="226">
        <v>46.304499999999997</v>
      </c>
    </row>
    <row r="111" spans="1:15" x14ac:dyDescent="0.3">
      <c r="A111" s="223"/>
      <c r="B111" s="223"/>
      <c r="C111" s="223"/>
      <c r="D111" s="113" t="s">
        <v>485</v>
      </c>
      <c r="E111" s="113"/>
      <c r="F111" s="113"/>
      <c r="G111" s="113"/>
      <c r="H111" s="226">
        <v>-0.1128</v>
      </c>
      <c r="I111" s="226">
        <v>-6.7599999999999993E-2</v>
      </c>
      <c r="J111" s="226">
        <v>-0.1153</v>
      </c>
      <c r="K111" s="226">
        <v>-2.3900000000000001E-2</v>
      </c>
      <c r="L111" s="226">
        <v>-0.44670000000000004</v>
      </c>
      <c r="M111" s="219"/>
      <c r="N111" s="219"/>
      <c r="O111" s="219"/>
    </row>
    <row r="112" spans="1:15" x14ac:dyDescent="0.3">
      <c r="A112" s="223"/>
      <c r="B112" s="223"/>
      <c r="C112" s="223"/>
      <c r="D112" s="113" t="s">
        <v>486</v>
      </c>
      <c r="E112" s="113"/>
      <c r="F112" s="113"/>
      <c r="G112" s="113"/>
      <c r="H112" s="226">
        <v>0.16469999999999999</v>
      </c>
      <c r="I112" s="226">
        <v>2.0472999999999999</v>
      </c>
      <c r="J112" s="226">
        <v>2.3220000000000001</v>
      </c>
      <c r="K112" s="226">
        <v>4.8860000000000001</v>
      </c>
      <c r="L112" s="226">
        <v>8.4566000000000017</v>
      </c>
    </row>
    <row r="113" spans="1:12" x14ac:dyDescent="0.3">
      <c r="A113" s="223"/>
      <c r="B113" s="223"/>
      <c r="C113" s="223"/>
      <c r="D113" s="229" t="s">
        <v>487</v>
      </c>
      <c r="E113" s="229"/>
      <c r="F113" s="229"/>
      <c r="G113" s="229"/>
      <c r="H113" s="230">
        <f>SUM(H103:H112)</f>
        <v>345.59579999999994</v>
      </c>
      <c r="I113" s="230">
        <f t="shared" ref="I113:L113" si="13">SUM(I103:I112)</f>
        <v>484.59110000000004</v>
      </c>
      <c r="J113" s="230">
        <f t="shared" si="13"/>
        <v>561.90530000000001</v>
      </c>
      <c r="K113" s="230">
        <f t="shared" si="13"/>
        <v>587.99030000000005</v>
      </c>
      <c r="L113" s="230">
        <f t="shared" si="13"/>
        <v>949.13970000000006</v>
      </c>
    </row>
    <row r="114" spans="1:12" x14ac:dyDescent="0.3">
      <c r="A114" s="223"/>
      <c r="B114" s="223"/>
      <c r="C114" s="223"/>
      <c r="D114" s="113" t="s">
        <v>478</v>
      </c>
      <c r="E114" s="113"/>
      <c r="F114" s="113"/>
      <c r="G114" s="113"/>
      <c r="H114" s="226"/>
      <c r="I114" s="226"/>
      <c r="J114" s="226"/>
      <c r="K114" s="226"/>
      <c r="L114" s="226"/>
    </row>
    <row r="115" spans="1:12" x14ac:dyDescent="0.3">
      <c r="A115" s="223"/>
      <c r="B115" s="223"/>
      <c r="C115" s="223"/>
      <c r="D115" s="113" t="s">
        <v>488</v>
      </c>
      <c r="E115" s="222"/>
      <c r="F115" s="222"/>
      <c r="G115" s="222"/>
      <c r="H115" s="226">
        <v>2.8201999999999998</v>
      </c>
      <c r="I115" s="226">
        <v>22.0108</v>
      </c>
      <c r="J115" s="226">
        <v>-47.591800000000006</v>
      </c>
      <c r="K115" s="226">
        <v>-51.839199999999998</v>
      </c>
      <c r="L115" s="226">
        <v>-42.7012</v>
      </c>
    </row>
    <row r="116" spans="1:12" x14ac:dyDescent="0.3">
      <c r="A116" s="223"/>
      <c r="B116" s="223"/>
      <c r="C116" s="223"/>
      <c r="D116" s="222" t="s">
        <v>489</v>
      </c>
      <c r="E116" s="113"/>
      <c r="F116" s="113"/>
      <c r="G116" s="113"/>
      <c r="H116" s="226">
        <v>39.385199999999998</v>
      </c>
      <c r="I116" s="226">
        <v>-178.81639999999999</v>
      </c>
      <c r="J116" s="226">
        <v>38.331099999999999</v>
      </c>
      <c r="K116" s="226">
        <v>-112.4552</v>
      </c>
      <c r="L116" s="226">
        <v>-21.132399999999997</v>
      </c>
    </row>
    <row r="117" spans="1:12" x14ac:dyDescent="0.3">
      <c r="A117" s="223"/>
      <c r="B117" s="223"/>
      <c r="C117" s="223"/>
      <c r="D117" s="113" t="s">
        <v>510</v>
      </c>
      <c r="E117" s="113"/>
      <c r="F117" s="113"/>
      <c r="G117" s="113"/>
      <c r="H117" s="226">
        <v>-29.5517</v>
      </c>
      <c r="I117" s="226">
        <v>44.874899999999997</v>
      </c>
      <c r="J117" s="226">
        <v>-18.4862</v>
      </c>
      <c r="K117" s="226">
        <v>-172.97540000000001</v>
      </c>
      <c r="L117" s="226">
        <v>-45.456199999999995</v>
      </c>
    </row>
    <row r="118" spans="1:12" x14ac:dyDescent="0.3">
      <c r="A118" s="223"/>
      <c r="B118" s="223"/>
      <c r="C118" s="223"/>
      <c r="D118" s="222" t="s">
        <v>490</v>
      </c>
      <c r="E118" s="113"/>
      <c r="F118" s="113"/>
      <c r="G118" s="113"/>
      <c r="H118" s="226">
        <v>16.113099999999999</v>
      </c>
      <c r="I118" s="226">
        <v>110.1991</v>
      </c>
      <c r="J118" s="226">
        <v>-56.718500000000006</v>
      </c>
      <c r="K118" s="226">
        <v>16.900099999999998</v>
      </c>
      <c r="L118" s="226">
        <v>26.927399999999999</v>
      </c>
    </row>
    <row r="119" spans="1:12" x14ac:dyDescent="0.3">
      <c r="A119" s="223"/>
      <c r="B119" s="223"/>
      <c r="C119" s="223"/>
      <c r="D119" s="113" t="s">
        <v>491</v>
      </c>
      <c r="E119" s="113"/>
      <c r="F119" s="113"/>
      <c r="G119" s="113"/>
      <c r="H119" s="226">
        <v>77.710999999999999</v>
      </c>
      <c r="I119" s="226">
        <v>-39.920400000000001</v>
      </c>
      <c r="J119" s="226">
        <v>88.543999999999997</v>
      </c>
      <c r="K119" s="226">
        <v>97.795000000000002</v>
      </c>
      <c r="L119" s="226">
        <v>7.1166</v>
      </c>
    </row>
    <row r="120" spans="1:12" x14ac:dyDescent="0.3">
      <c r="A120" s="223"/>
      <c r="B120" s="223"/>
      <c r="C120" s="223"/>
      <c r="D120" s="229" t="s">
        <v>492</v>
      </c>
      <c r="E120" s="229"/>
      <c r="F120" s="229"/>
      <c r="G120" s="229"/>
      <c r="H120" s="230">
        <f>SUM(H113:H119)</f>
        <v>452.07359999999994</v>
      </c>
      <c r="I120" s="230">
        <f t="shared" ref="I120:L120" si="14">SUM(I113:I119)</f>
        <v>442.93910000000005</v>
      </c>
      <c r="J120" s="230">
        <f t="shared" si="14"/>
        <v>565.98389999999995</v>
      </c>
      <c r="K120" s="230">
        <f t="shared" si="14"/>
        <v>365.41560000000004</v>
      </c>
      <c r="L120" s="230">
        <f t="shared" si="14"/>
        <v>873.89390000000014</v>
      </c>
    </row>
    <row r="121" spans="1:12" x14ac:dyDescent="0.3">
      <c r="A121" s="223"/>
      <c r="B121" s="223"/>
      <c r="C121" s="223"/>
      <c r="D121" s="113" t="s">
        <v>493</v>
      </c>
      <c r="E121" s="113"/>
      <c r="F121" s="113"/>
      <c r="G121" s="113"/>
      <c r="H121" s="226">
        <v>-35</v>
      </c>
      <c r="I121" s="226">
        <v>-67.7102</v>
      </c>
      <c r="J121" s="226">
        <v>-76.237299999999991</v>
      </c>
      <c r="K121" s="226">
        <v>-68.944199999999995</v>
      </c>
      <c r="L121" s="226">
        <v>-109.0368</v>
      </c>
    </row>
    <row r="122" spans="1:12" x14ac:dyDescent="0.3">
      <c r="A122" s="223"/>
      <c r="B122" s="223"/>
      <c r="C122" s="223"/>
      <c r="D122" s="229" t="s">
        <v>494</v>
      </c>
      <c r="E122" s="229"/>
      <c r="F122" s="229"/>
      <c r="G122" s="229"/>
      <c r="H122" s="230">
        <f>SUM(H120:H121)</f>
        <v>417.07359999999994</v>
      </c>
      <c r="I122" s="230">
        <f t="shared" ref="I122:L122" si="15">SUM(I120:I121)</f>
        <v>375.22890000000007</v>
      </c>
      <c r="J122" s="230">
        <f t="shared" si="15"/>
        <v>489.74659999999994</v>
      </c>
      <c r="K122" s="230">
        <f t="shared" si="15"/>
        <v>296.47140000000002</v>
      </c>
      <c r="L122" s="230">
        <f t="shared" si="15"/>
        <v>764.85710000000017</v>
      </c>
    </row>
    <row r="123" spans="1:12" x14ac:dyDescent="0.3">
      <c r="A123" s="223"/>
      <c r="B123" s="223"/>
      <c r="C123" s="223"/>
      <c r="D123" s="222" t="s">
        <v>495</v>
      </c>
      <c r="E123" s="113"/>
      <c r="F123" s="113"/>
      <c r="G123" s="113"/>
      <c r="H123" s="226"/>
      <c r="I123" s="226"/>
      <c r="J123" s="226"/>
      <c r="K123" s="226"/>
      <c r="L123" s="226"/>
    </row>
    <row r="124" spans="1:12" x14ac:dyDescent="0.3">
      <c r="A124" s="223"/>
      <c r="B124" s="223"/>
      <c r="C124" s="223"/>
      <c r="D124" s="113" t="s">
        <v>496</v>
      </c>
      <c r="E124" s="113"/>
      <c r="F124" s="113"/>
      <c r="G124" s="113"/>
      <c r="H124" s="226">
        <v>-199.4384</v>
      </c>
      <c r="I124" s="226">
        <v>-571.85809999999992</v>
      </c>
      <c r="J124" s="226">
        <v>-1036.4550999999999</v>
      </c>
      <c r="K124" s="226">
        <v>-581.1857</v>
      </c>
      <c r="L124" s="226">
        <v>-493.19949999999994</v>
      </c>
    </row>
    <row r="125" spans="1:12" x14ac:dyDescent="0.3">
      <c r="A125" s="223"/>
      <c r="B125" s="223"/>
      <c r="C125" s="223"/>
      <c r="D125" s="113" t="s">
        <v>497</v>
      </c>
      <c r="E125" s="113"/>
      <c r="F125" s="113"/>
      <c r="G125" s="113"/>
      <c r="H125" s="226">
        <v>2.0823</v>
      </c>
      <c r="I125" s="226">
        <v>2.4140000000000001</v>
      </c>
      <c r="J125" s="226">
        <v>0.37959999999999999</v>
      </c>
      <c r="K125" s="226">
        <v>5.5180999999999996</v>
      </c>
      <c r="L125" s="226">
        <v>6.4844000000000008</v>
      </c>
    </row>
    <row r="126" spans="1:12" x14ac:dyDescent="0.3">
      <c r="A126" s="223"/>
      <c r="B126" s="223"/>
      <c r="C126" s="223"/>
      <c r="D126" s="113" t="s">
        <v>511</v>
      </c>
      <c r="E126" s="113"/>
      <c r="F126" s="113"/>
      <c r="G126" s="113"/>
      <c r="H126" s="226">
        <v>0</v>
      </c>
      <c r="I126" s="226">
        <v>0</v>
      </c>
      <c r="J126" s="226">
        <v>-3.0493999999999999</v>
      </c>
      <c r="K126" s="226">
        <v>4.55</v>
      </c>
      <c r="L126" s="226">
        <v>-1.4</v>
      </c>
    </row>
    <row r="127" spans="1:12" x14ac:dyDescent="0.3">
      <c r="A127" s="223"/>
      <c r="B127" s="223"/>
      <c r="C127" s="223"/>
      <c r="D127" s="113" t="s">
        <v>498</v>
      </c>
      <c r="E127" s="113"/>
      <c r="F127" s="113"/>
      <c r="G127" s="113"/>
      <c r="H127" s="226">
        <v>39.642499999999998</v>
      </c>
      <c r="I127" s="226">
        <v>186.47110000000001</v>
      </c>
      <c r="J127" s="226">
        <v>184.33500000000001</v>
      </c>
      <c r="K127" s="226">
        <v>35.231000000000002</v>
      </c>
      <c r="L127" s="226">
        <v>-99.508200000000002</v>
      </c>
    </row>
    <row r="128" spans="1:12" x14ac:dyDescent="0.3">
      <c r="A128" s="223"/>
      <c r="B128" s="223"/>
      <c r="C128" s="223"/>
      <c r="D128" s="113" t="s">
        <v>499</v>
      </c>
      <c r="E128" s="113"/>
      <c r="F128" s="113"/>
      <c r="G128" s="113"/>
      <c r="H128" s="226">
        <v>-161.9</v>
      </c>
      <c r="I128" s="226">
        <v>64.688199999999995</v>
      </c>
      <c r="J128" s="226">
        <v>170.44830000000002</v>
      </c>
      <c r="K128" s="226">
        <v>7.4999999999999997E-3</v>
      </c>
      <c r="L128" s="226">
        <v>-256.12580000000003</v>
      </c>
    </row>
    <row r="129" spans="1:14" x14ac:dyDescent="0.3">
      <c r="A129" s="223"/>
      <c r="B129" s="223"/>
      <c r="C129" s="223"/>
      <c r="D129" s="113" t="s">
        <v>16</v>
      </c>
      <c r="E129" s="113"/>
      <c r="F129" s="113"/>
      <c r="G129" s="113"/>
      <c r="H129" s="226">
        <v>30.767399999999999</v>
      </c>
      <c r="I129" s="226">
        <v>46.599299999999999</v>
      </c>
      <c r="J129" s="226">
        <v>34.279299999999999</v>
      </c>
      <c r="K129" s="226">
        <v>7.3299000000000003</v>
      </c>
      <c r="L129" s="226">
        <v>0.42579999999999996</v>
      </c>
    </row>
    <row r="130" spans="1:14" x14ac:dyDescent="0.3">
      <c r="A130" s="223"/>
      <c r="B130" s="223"/>
      <c r="C130" s="223"/>
      <c r="D130" s="229" t="s">
        <v>500</v>
      </c>
      <c r="E130" s="229"/>
      <c r="F130" s="229"/>
      <c r="G130" s="229"/>
      <c r="H130" s="230">
        <f>SUM(H124:H129)</f>
        <v>-288.84620000000001</v>
      </c>
      <c r="I130" s="230">
        <f t="shared" ref="I130:L130" si="16">SUM(I124:I129)</f>
        <v>-271.68549999999993</v>
      </c>
      <c r="J130" s="230">
        <f t="shared" si="16"/>
        <v>-650.06229999999994</v>
      </c>
      <c r="K130" s="230">
        <f t="shared" si="16"/>
        <v>-528.54920000000004</v>
      </c>
      <c r="L130" s="230">
        <f t="shared" si="16"/>
        <v>-843.32330000000002</v>
      </c>
    </row>
    <row r="131" spans="1:14" x14ac:dyDescent="0.3">
      <c r="A131" s="223"/>
      <c r="B131" s="223"/>
      <c r="C131" s="223"/>
      <c r="D131" s="222" t="s">
        <v>501</v>
      </c>
      <c r="E131" s="222"/>
      <c r="F131" s="222"/>
      <c r="G131" s="222"/>
      <c r="H131" s="226"/>
      <c r="I131" s="226"/>
      <c r="J131" s="226"/>
      <c r="K131" s="226"/>
      <c r="L131" s="226"/>
    </row>
    <row r="132" spans="1:14" x14ac:dyDescent="0.3">
      <c r="A132" s="223"/>
      <c r="B132" s="223"/>
      <c r="C132" s="223"/>
      <c r="D132" s="222" t="s">
        <v>502</v>
      </c>
      <c r="E132" s="113"/>
      <c r="F132" s="113"/>
      <c r="G132" s="113"/>
      <c r="H132" s="226">
        <v>-152.3604</v>
      </c>
      <c r="I132" s="226">
        <v>0</v>
      </c>
      <c r="J132" s="226">
        <v>72.102599999999995</v>
      </c>
      <c r="K132" s="226">
        <v>241.93310000000002</v>
      </c>
      <c r="L132" s="226">
        <v>288.00069999999999</v>
      </c>
    </row>
    <row r="133" spans="1:14" x14ac:dyDescent="0.3">
      <c r="A133" s="223"/>
      <c r="B133" s="223"/>
      <c r="C133" s="223"/>
      <c r="D133" s="222" t="s">
        <v>503</v>
      </c>
      <c r="E133" s="113"/>
      <c r="F133" s="113"/>
      <c r="G133" s="113"/>
      <c r="H133" s="226">
        <v>-0.18739999999999998</v>
      </c>
      <c r="I133" s="226">
        <v>0</v>
      </c>
      <c r="J133" s="226">
        <v>0</v>
      </c>
      <c r="K133" s="226">
        <v>0</v>
      </c>
      <c r="L133" s="226">
        <v>-40.145499999999998</v>
      </c>
    </row>
    <row r="134" spans="1:14" x14ac:dyDescent="0.3">
      <c r="A134" s="223"/>
      <c r="B134" s="223"/>
      <c r="C134" s="223"/>
      <c r="D134" s="113" t="s">
        <v>504</v>
      </c>
      <c r="E134" s="113"/>
      <c r="F134" s="113"/>
      <c r="G134" s="113"/>
      <c r="H134" s="226">
        <v>-9.7468000000000004</v>
      </c>
      <c r="I134" s="226">
        <v>20.725700000000003</v>
      </c>
      <c r="J134" s="226">
        <v>31.622900000000001</v>
      </c>
      <c r="K134" s="226">
        <v>16.916399999999999</v>
      </c>
      <c r="L134" s="226">
        <v>-59.359700000000004</v>
      </c>
    </row>
    <row r="135" spans="1:14" x14ac:dyDescent="0.3">
      <c r="A135" s="223"/>
      <c r="B135" s="223"/>
      <c r="C135" s="223"/>
      <c r="D135" s="113" t="s">
        <v>18</v>
      </c>
      <c r="E135" s="113"/>
      <c r="F135" s="113"/>
      <c r="G135" s="113"/>
      <c r="H135" s="226">
        <v>-12.866700000000002</v>
      </c>
      <c r="I135" s="226">
        <v>-9.6950000000000003</v>
      </c>
      <c r="J135" s="226">
        <v>-10.714400000000001</v>
      </c>
      <c r="K135" s="226">
        <v>-28.8216</v>
      </c>
      <c r="L135" s="226">
        <v>-47.922700000000006</v>
      </c>
    </row>
    <row r="136" spans="1:14" x14ac:dyDescent="0.3">
      <c r="A136" s="223"/>
      <c r="B136" s="223"/>
      <c r="C136" s="223"/>
      <c r="D136" s="113" t="s">
        <v>505</v>
      </c>
      <c r="E136" s="243"/>
      <c r="F136" s="243"/>
      <c r="G136" s="243"/>
      <c r="H136" s="226">
        <v>-0.47360000000000002</v>
      </c>
      <c r="I136" s="226">
        <v>-1.0275000000000001</v>
      </c>
      <c r="J136" s="226">
        <v>-6.5308000000000002</v>
      </c>
      <c r="K136" s="226">
        <v>-5.8907000000000007</v>
      </c>
      <c r="L136" s="226">
        <v>-7.9804999999999993</v>
      </c>
    </row>
    <row r="137" spans="1:14" x14ac:dyDescent="0.3">
      <c r="A137" s="223"/>
      <c r="B137" s="223"/>
      <c r="C137" s="223"/>
      <c r="D137" s="247" t="s">
        <v>512</v>
      </c>
      <c r="E137" s="113"/>
      <c r="F137" s="113"/>
      <c r="G137" s="113"/>
      <c r="H137" s="226">
        <v>0</v>
      </c>
      <c r="I137" s="226">
        <v>0</v>
      </c>
      <c r="J137" s="226">
        <v>0</v>
      </c>
      <c r="K137" s="226">
        <v>0</v>
      </c>
      <c r="L137" s="226">
        <v>-80.836100000000002</v>
      </c>
    </row>
    <row r="138" spans="1:14" x14ac:dyDescent="0.3">
      <c r="A138" s="223"/>
      <c r="B138" s="223"/>
      <c r="C138" s="223"/>
      <c r="D138" s="229" t="s">
        <v>506</v>
      </c>
      <c r="E138" s="229"/>
      <c r="F138" s="229"/>
      <c r="G138" s="229"/>
      <c r="H138" s="230">
        <f>SUM(H132:H137)</f>
        <v>-175.63490000000002</v>
      </c>
      <c r="I138" s="230">
        <f t="shared" ref="I138:L138" si="17">SUM(I132:I137)</f>
        <v>10.003200000000003</v>
      </c>
      <c r="J138" s="230">
        <f t="shared" si="17"/>
        <v>86.4803</v>
      </c>
      <c r="K138" s="230">
        <f t="shared" si="17"/>
        <v>224.13720000000004</v>
      </c>
      <c r="L138" s="230">
        <f t="shared" si="17"/>
        <v>51.756199999999964</v>
      </c>
    </row>
    <row r="139" spans="1:14" x14ac:dyDescent="0.3">
      <c r="A139" s="223"/>
      <c r="B139" s="223"/>
      <c r="C139" s="223"/>
      <c r="D139" s="222" t="s">
        <v>507</v>
      </c>
      <c r="E139" s="222"/>
      <c r="F139" s="222"/>
      <c r="G139" s="222"/>
      <c r="H139" s="231">
        <f>H138+H130+H122</f>
        <v>-47.407500000000084</v>
      </c>
      <c r="I139" s="231">
        <f t="shared" ref="I139:L139" si="18">I138+I130+I122</f>
        <v>113.54660000000013</v>
      </c>
      <c r="J139" s="231">
        <f t="shared" si="18"/>
        <v>-73.835399999999936</v>
      </c>
      <c r="K139" s="231">
        <f t="shared" si="18"/>
        <v>-7.9406000000000176</v>
      </c>
      <c r="L139" s="231">
        <f t="shared" si="18"/>
        <v>-26.709999999999923</v>
      </c>
    </row>
    <row r="140" spans="1:14" x14ac:dyDescent="0.3">
      <c r="A140" s="223"/>
      <c r="B140" s="223"/>
      <c r="C140" s="223"/>
      <c r="D140" s="222" t="s">
        <v>508</v>
      </c>
      <c r="E140" s="222"/>
      <c r="F140" s="222"/>
      <c r="G140" s="222"/>
      <c r="H140" s="226">
        <v>55.483000000000004</v>
      </c>
      <c r="I140" s="226">
        <v>8.0754999999999999</v>
      </c>
      <c r="J140" s="226">
        <v>121.6223</v>
      </c>
      <c r="K140" s="226">
        <v>47.786899999999996</v>
      </c>
      <c r="L140" s="226">
        <v>39.846299999999999</v>
      </c>
      <c r="N140" s="226"/>
    </row>
    <row r="141" spans="1:14" ht="15" thickBot="1" x14ac:dyDescent="0.35">
      <c r="A141" s="223"/>
      <c r="B141" s="223"/>
      <c r="C141" s="223"/>
      <c r="D141" s="233" t="s">
        <v>509</v>
      </c>
      <c r="E141" s="233"/>
      <c r="F141" s="233"/>
      <c r="G141" s="233"/>
      <c r="H141" s="234">
        <f>SUM(H139:H140)</f>
        <v>8.07549999999992</v>
      </c>
      <c r="I141" s="234">
        <f t="shared" ref="I141:L141" si="19">SUM(I139:I140)</f>
        <v>121.62210000000013</v>
      </c>
      <c r="J141" s="234">
        <f t="shared" si="19"/>
        <v>47.78690000000006</v>
      </c>
      <c r="K141" s="234">
        <f t="shared" si="19"/>
        <v>39.846299999999978</v>
      </c>
      <c r="L141" s="234">
        <f t="shared" si="19"/>
        <v>13.136300000000077</v>
      </c>
      <c r="M141" s="220"/>
    </row>
    <row r="142" spans="1:14" ht="15" thickTop="1" x14ac:dyDescent="0.3">
      <c r="J142" s="2"/>
      <c r="L142" s="2"/>
    </row>
    <row r="144" spans="1:14" x14ac:dyDescent="0.3">
      <c r="L144" s="2"/>
    </row>
    <row r="145" spans="3:12" x14ac:dyDescent="0.3">
      <c r="J145" s="2"/>
    </row>
    <row r="147" spans="3:12" x14ac:dyDescent="0.3">
      <c r="E147" s="2"/>
      <c r="F147" s="2"/>
      <c r="G147" s="2"/>
      <c r="L147" s="2"/>
    </row>
    <row r="148" spans="3:12" x14ac:dyDescent="0.3">
      <c r="D148" s="2"/>
      <c r="H148" s="2"/>
      <c r="I148" s="2"/>
    </row>
    <row r="149" spans="3:12" x14ac:dyDescent="0.3">
      <c r="E149" s="2"/>
      <c r="F149" s="2"/>
      <c r="G149" s="2"/>
    </row>
    <row r="150" spans="3:12" x14ac:dyDescent="0.3">
      <c r="D150" s="2"/>
      <c r="H150" s="2"/>
      <c r="I150" s="2"/>
    </row>
    <row r="152" spans="3:12" x14ac:dyDescent="0.3">
      <c r="E152" s="2"/>
      <c r="F152" s="2"/>
      <c r="G152" s="2"/>
    </row>
    <row r="153" spans="3:12" x14ac:dyDescent="0.3">
      <c r="C153" s="16"/>
      <c r="D153" s="2"/>
      <c r="H153" s="2"/>
      <c r="I153" s="2"/>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BD41F5-7A06-453A-A47E-4EA8E3DD59C7}">
  <sheetPr codeName="Sheet3"/>
  <dimension ref="A1:AA196"/>
  <sheetViews>
    <sheetView showGridLines="0" zoomScale="97" zoomScaleNormal="85" workbookViewId="0">
      <pane xSplit="5" ySplit="2" topLeftCell="F171" activePane="bottomRight" state="frozen"/>
      <selection pane="topRight" activeCell="F1" sqref="F1"/>
      <selection pane="bottomLeft" activeCell="A3" sqref="A3"/>
      <selection pane="bottomRight" activeCell="E141" sqref="E141"/>
    </sheetView>
  </sheetViews>
  <sheetFormatPr defaultColWidth="11.77734375" defaultRowHeight="14.4" x14ac:dyDescent="0.3"/>
  <cols>
    <col min="1" max="3" width="1.33203125" style="1" customWidth="1"/>
    <col min="4" max="4" width="40.77734375" customWidth="1"/>
    <col min="5" max="5" width="15" customWidth="1"/>
    <col min="6" max="6" width="12.77734375" customWidth="1"/>
    <col min="7" max="7" width="2.77734375" customWidth="1"/>
    <col min="8" max="18" width="15.109375" customWidth="1"/>
    <col min="19" max="24" width="15" customWidth="1"/>
  </cols>
  <sheetData>
    <row r="1" spans="1:22" ht="32.4" x14ac:dyDescent="0.6">
      <c r="A1" s="3" t="s">
        <v>408</v>
      </c>
      <c r="B1" s="4"/>
      <c r="C1" s="4"/>
      <c r="D1" s="5"/>
      <c r="E1" s="5"/>
      <c r="F1" s="5"/>
      <c r="G1" s="5"/>
      <c r="H1" s="7" t="s">
        <v>27</v>
      </c>
      <c r="I1" s="8"/>
      <c r="J1" s="8"/>
      <c r="K1" s="8"/>
      <c r="L1" s="8"/>
      <c r="M1" s="11" t="s">
        <v>28</v>
      </c>
      <c r="N1" s="9"/>
      <c r="O1" s="9"/>
      <c r="P1" s="9"/>
      <c r="Q1" s="9"/>
      <c r="R1" s="9"/>
      <c r="S1" s="9"/>
      <c r="T1" s="9"/>
      <c r="U1" s="9"/>
      <c r="V1" s="9"/>
    </row>
    <row r="2" spans="1:22" ht="19.8" x14ac:dyDescent="0.4">
      <c r="A2" s="12" t="s">
        <v>26</v>
      </c>
      <c r="B2" s="13"/>
      <c r="C2" s="13"/>
      <c r="D2" s="6"/>
      <c r="E2" s="6"/>
      <c r="F2" s="23" t="s">
        <v>20</v>
      </c>
      <c r="G2" s="6"/>
      <c r="H2" s="20">
        <v>2022</v>
      </c>
      <c r="I2" s="20">
        <f t="shared" ref="I2:R2" si="0">H2+1</f>
        <v>2023</v>
      </c>
      <c r="J2" s="20">
        <f t="shared" si="0"/>
        <v>2024</v>
      </c>
      <c r="K2" s="20">
        <f>J2+1</f>
        <v>2025</v>
      </c>
      <c r="L2" s="20">
        <f>K2+1</f>
        <v>2026</v>
      </c>
      <c r="M2" s="21">
        <v>2027</v>
      </c>
      <c r="N2" s="22">
        <f t="shared" si="0"/>
        <v>2028</v>
      </c>
      <c r="O2" s="22">
        <f t="shared" si="0"/>
        <v>2029</v>
      </c>
      <c r="P2" s="22">
        <f t="shared" si="0"/>
        <v>2030</v>
      </c>
      <c r="Q2" s="22">
        <f t="shared" si="0"/>
        <v>2031</v>
      </c>
      <c r="R2" s="22">
        <f t="shared" si="0"/>
        <v>2032</v>
      </c>
      <c r="S2" s="22">
        <f>R2+1</f>
        <v>2033</v>
      </c>
      <c r="T2" s="22">
        <f>S2+1</f>
        <v>2034</v>
      </c>
      <c r="U2" s="22">
        <f>T2+1</f>
        <v>2035</v>
      </c>
      <c r="V2" s="22">
        <f>U2+1</f>
        <v>2036</v>
      </c>
    </row>
    <row r="4" spans="1:22" ht="19.8" x14ac:dyDescent="0.4">
      <c r="A4" s="12" t="s">
        <v>29</v>
      </c>
      <c r="B4" s="13"/>
      <c r="C4" s="13"/>
      <c r="D4" s="6"/>
      <c r="E4" s="6"/>
      <c r="F4" s="6"/>
      <c r="G4" s="6"/>
      <c r="H4" s="6"/>
      <c r="I4" s="6"/>
      <c r="J4" s="6"/>
      <c r="K4" s="6"/>
      <c r="L4" s="6"/>
      <c r="M4" s="14"/>
      <c r="N4" s="15"/>
      <c r="O4" s="15"/>
      <c r="P4" s="15"/>
      <c r="Q4" s="15"/>
      <c r="R4" s="15"/>
      <c r="S4" s="15"/>
      <c r="T4" s="15"/>
      <c r="U4" s="15"/>
      <c r="V4" s="15"/>
    </row>
    <row r="6" spans="1:22" ht="15" thickBot="1" x14ac:dyDescent="0.35">
      <c r="D6" s="32" t="s">
        <v>89</v>
      </c>
      <c r="E6" s="38" t="s">
        <v>105</v>
      </c>
      <c r="F6" s="39" t="s">
        <v>20</v>
      </c>
      <c r="G6" s="40"/>
      <c r="H6" s="40"/>
      <c r="I6" s="40"/>
      <c r="J6" s="40"/>
      <c r="K6" s="40"/>
      <c r="L6" s="40"/>
      <c r="M6" s="40"/>
      <c r="N6" s="40"/>
      <c r="O6" s="40"/>
      <c r="P6" s="40"/>
      <c r="Q6" s="40"/>
      <c r="R6" s="40"/>
      <c r="S6" s="40"/>
      <c r="T6" s="40"/>
      <c r="U6" s="40"/>
      <c r="V6" s="40"/>
    </row>
    <row r="7" spans="1:22" x14ac:dyDescent="0.3">
      <c r="D7" s="2" t="s">
        <v>91</v>
      </c>
      <c r="F7" t="s">
        <v>92</v>
      </c>
      <c r="H7" s="51"/>
      <c r="I7" s="51">
        <f>I23/H23-1</f>
        <v>0.22248176174192258</v>
      </c>
      <c r="J7" s="51">
        <f>J23/I23-1</f>
        <v>6.5363550283023208E-2</v>
      </c>
      <c r="K7" s="51">
        <f>K23/J23-1</f>
        <v>8.06327682492467E-2</v>
      </c>
      <c r="L7" s="51">
        <f>L23/K23-1</f>
        <v>0.19590248312101344</v>
      </c>
      <c r="M7" s="51" cm="1">
        <f t="array" ref="M7:V7">_xlfn.XLOOKUP(E6,'Scenario Analysis'!D5:D7,'Scenario Analysis'!H5:Q7)</f>
        <v>0.13</v>
      </c>
      <c r="N7" s="51">
        <v>0.11700000000000001</v>
      </c>
      <c r="O7" s="51">
        <v>0.1053</v>
      </c>
      <c r="P7" s="51">
        <v>9.4770000000000007E-2</v>
      </c>
      <c r="Q7" s="51">
        <v>8.5293000000000008E-2</v>
      </c>
      <c r="R7" s="51">
        <v>7.6763700000000004E-2</v>
      </c>
      <c r="S7" s="51">
        <v>6.9087330000000002E-2</v>
      </c>
      <c r="T7" s="51">
        <v>6.2178597000000002E-2</v>
      </c>
      <c r="U7" s="51">
        <v>5.5960737300000001E-2</v>
      </c>
      <c r="V7" s="51">
        <v>5.0364663570000003E-2</v>
      </c>
    </row>
    <row r="8" spans="1:22" x14ac:dyDescent="0.3">
      <c r="D8" t="s">
        <v>93</v>
      </c>
      <c r="F8" t="s">
        <v>92</v>
      </c>
      <c r="H8" s="51">
        <f>-H24/H23</f>
        <v>0.24185710769381941</v>
      </c>
      <c r="I8" s="51">
        <f>-I24/I23</f>
        <v>0.23344434451443175</v>
      </c>
      <c r="J8" s="51">
        <f>-J24/J23</f>
        <v>0.15761248336046979</v>
      </c>
      <c r="K8" s="51">
        <f>-K24/K23</f>
        <v>0.17838916309408057</v>
      </c>
      <c r="L8" s="51">
        <f>-L24/L23</f>
        <v>0.13068398478065538</v>
      </c>
      <c r="M8" s="51">
        <f>AVERAGE(J8:L8)</f>
        <v>0.15556187707840188</v>
      </c>
      <c r="N8" s="51">
        <f t="shared" ref="N8:R8" si="1">M8</f>
        <v>0.15556187707840188</v>
      </c>
      <c r="O8" s="51">
        <f t="shared" si="1"/>
        <v>0.15556187707840188</v>
      </c>
      <c r="P8" s="51">
        <f t="shared" si="1"/>
        <v>0.15556187707840188</v>
      </c>
      <c r="Q8" s="51">
        <f t="shared" si="1"/>
        <v>0.15556187707840188</v>
      </c>
      <c r="R8" s="51">
        <f t="shared" si="1"/>
        <v>0.15556187707840188</v>
      </c>
      <c r="S8" s="51">
        <f t="shared" ref="S8:S17" si="2">R8</f>
        <v>0.15556187707840188</v>
      </c>
      <c r="T8" s="51">
        <f t="shared" ref="T8:T17" si="3">S8</f>
        <v>0.15556187707840188</v>
      </c>
      <c r="U8" s="51">
        <f t="shared" ref="U8:U17" si="4">T8</f>
        <v>0.15556187707840188</v>
      </c>
      <c r="V8" s="51">
        <f t="shared" ref="V8:V17" si="5">U8</f>
        <v>0.15556187707840188</v>
      </c>
    </row>
    <row r="9" spans="1:22" x14ac:dyDescent="0.3">
      <c r="D9" t="s">
        <v>94</v>
      </c>
      <c r="F9" t="s">
        <v>92</v>
      </c>
      <c r="H9" s="51">
        <f>-H27/H23</f>
        <v>7.0659257330211583E-2</v>
      </c>
      <c r="I9" s="51">
        <f>-I27/I23</f>
        <v>7.10475911698141E-2</v>
      </c>
      <c r="J9" s="51">
        <f>-J27/J23</f>
        <v>7.313082468674717E-2</v>
      </c>
      <c r="K9" s="51">
        <f>-K27/K23</f>
        <v>7.7966041993013588E-2</v>
      </c>
      <c r="L9" s="51">
        <f>-L27/L23</f>
        <v>7.3036509639917632E-2</v>
      </c>
      <c r="M9" s="51">
        <f>AVERAGE(H9:L9)</f>
        <v>7.3168044963940818E-2</v>
      </c>
      <c r="N9" s="51">
        <f t="shared" ref="N9:R14" si="6">M9</f>
        <v>7.3168044963940818E-2</v>
      </c>
      <c r="O9" s="51">
        <f t="shared" si="6"/>
        <v>7.3168044963940818E-2</v>
      </c>
      <c r="P9" s="51">
        <f t="shared" si="6"/>
        <v>7.3168044963940818E-2</v>
      </c>
      <c r="Q9" s="51">
        <f t="shared" si="6"/>
        <v>7.3168044963940818E-2</v>
      </c>
      <c r="R9" s="51">
        <f t="shared" si="6"/>
        <v>7.3168044963940818E-2</v>
      </c>
      <c r="S9" s="51">
        <f t="shared" si="2"/>
        <v>7.3168044963940818E-2</v>
      </c>
      <c r="T9" s="51">
        <f t="shared" si="3"/>
        <v>7.3168044963940818E-2</v>
      </c>
      <c r="U9" s="51">
        <f t="shared" si="4"/>
        <v>7.3168044963940818E-2</v>
      </c>
      <c r="V9" s="51">
        <f t="shared" si="5"/>
        <v>7.3168044963940818E-2</v>
      </c>
    </row>
    <row r="10" spans="1:22" x14ac:dyDescent="0.3">
      <c r="D10" t="s">
        <v>95</v>
      </c>
      <c r="F10" t="s">
        <v>92</v>
      </c>
      <c r="H10" s="51">
        <f>-H28/H23</f>
        <v>0.51959393057092684</v>
      </c>
      <c r="I10" s="51">
        <f>-I28/I23</f>
        <v>0.50672024801504723</v>
      </c>
      <c r="J10" s="51">
        <f>-J28/J23</f>
        <v>0.57083937181989974</v>
      </c>
      <c r="K10" s="51">
        <f>-K28/K23</f>
        <v>0.55800683518100858</v>
      </c>
      <c r="L10" s="51">
        <f>-L28/L23</f>
        <v>0.54462630055386707</v>
      </c>
      <c r="M10" s="51">
        <f>AVERAGE(H10:L10)</f>
        <v>0.53995733722814987</v>
      </c>
      <c r="N10" s="51">
        <f t="shared" si="6"/>
        <v>0.53995733722814987</v>
      </c>
      <c r="O10" s="51">
        <f t="shared" si="6"/>
        <v>0.53995733722814987</v>
      </c>
      <c r="P10" s="51">
        <f t="shared" si="6"/>
        <v>0.53995733722814987</v>
      </c>
      <c r="Q10" s="51">
        <f t="shared" si="6"/>
        <v>0.53995733722814987</v>
      </c>
      <c r="R10" s="51">
        <f t="shared" si="6"/>
        <v>0.53995733722814987</v>
      </c>
      <c r="S10" s="51">
        <f t="shared" si="2"/>
        <v>0.53995733722814987</v>
      </c>
      <c r="T10" s="51">
        <f t="shared" si="3"/>
        <v>0.53995733722814987</v>
      </c>
      <c r="U10" s="51">
        <f t="shared" si="4"/>
        <v>0.53995733722814987</v>
      </c>
      <c r="V10" s="51">
        <f t="shared" si="5"/>
        <v>0.53995733722814987</v>
      </c>
    </row>
    <row r="11" spans="1:22" x14ac:dyDescent="0.3">
      <c r="D11" t="s">
        <v>96</v>
      </c>
      <c r="F11" t="s">
        <v>92</v>
      </c>
      <c r="H11" s="51"/>
      <c r="I11" s="51">
        <f>-I30/H51</f>
        <v>0.14435038626925084</v>
      </c>
      <c r="J11" s="51">
        <f>-J30/I51</f>
        <v>0.16787415424624638</v>
      </c>
      <c r="K11" s="51">
        <f>-K30/J51</f>
        <v>0.23768727216687741</v>
      </c>
      <c r="L11" s="51">
        <f>-L30/K51</f>
        <v>0.15216588509928486</v>
      </c>
      <c r="M11" s="51">
        <f>L11</f>
        <v>0.15216588509928486</v>
      </c>
      <c r="N11" s="51">
        <f t="shared" si="6"/>
        <v>0.15216588509928486</v>
      </c>
      <c r="O11" s="51">
        <f t="shared" si="6"/>
        <v>0.15216588509928486</v>
      </c>
      <c r="P11" s="51">
        <f>O11+2%</f>
        <v>0.17216588509928485</v>
      </c>
      <c r="Q11" s="51">
        <f t="shared" si="6"/>
        <v>0.17216588509928485</v>
      </c>
      <c r="R11" s="51">
        <f t="shared" si="6"/>
        <v>0.17216588509928485</v>
      </c>
      <c r="S11" s="51">
        <f>R11+2%</f>
        <v>0.19216588509928484</v>
      </c>
      <c r="T11" s="51">
        <f t="shared" si="3"/>
        <v>0.19216588509928484</v>
      </c>
      <c r="U11" s="51">
        <f t="shared" si="4"/>
        <v>0.19216588509928484</v>
      </c>
      <c r="V11" s="51">
        <f>U11+2%</f>
        <v>0.21216588509928483</v>
      </c>
    </row>
    <row r="12" spans="1:22" x14ac:dyDescent="0.3">
      <c r="D12" t="s">
        <v>97</v>
      </c>
      <c r="F12" t="s">
        <v>92</v>
      </c>
      <c r="H12" s="51"/>
      <c r="I12" s="51">
        <f>-I32/(H65+H62)</f>
        <v>9.4790575890635442E-2</v>
      </c>
      <c r="J12" s="51">
        <f t="shared" ref="J12:L12" si="7">-J32/(I65+I62)</f>
        <v>7.337186736328366E-2</v>
      </c>
      <c r="K12" s="51">
        <f t="shared" si="7"/>
        <v>5.9192928692054378E-2</v>
      </c>
      <c r="L12" s="51">
        <f t="shared" si="7"/>
        <v>5.7931467103816983E-2</v>
      </c>
      <c r="M12" s="51">
        <f>L12</f>
        <v>5.7931467103816983E-2</v>
      </c>
      <c r="N12" s="51">
        <f t="shared" si="6"/>
        <v>5.7931467103816983E-2</v>
      </c>
      <c r="O12" s="51">
        <f t="shared" si="6"/>
        <v>5.7931467103816983E-2</v>
      </c>
      <c r="P12" s="51">
        <f t="shared" si="6"/>
        <v>5.7931467103816983E-2</v>
      </c>
      <c r="Q12" s="51">
        <f t="shared" si="6"/>
        <v>5.7931467103816983E-2</v>
      </c>
      <c r="R12" s="51">
        <f t="shared" si="6"/>
        <v>5.7931467103816983E-2</v>
      </c>
      <c r="S12" s="51">
        <f t="shared" si="2"/>
        <v>5.7931467103816983E-2</v>
      </c>
      <c r="T12" s="51">
        <f t="shared" si="3"/>
        <v>5.7931467103816983E-2</v>
      </c>
      <c r="U12" s="51">
        <f t="shared" si="4"/>
        <v>5.7931467103816983E-2</v>
      </c>
      <c r="V12" s="51">
        <f t="shared" si="5"/>
        <v>5.7931467103816983E-2</v>
      </c>
    </row>
    <row r="13" spans="1:22" x14ac:dyDescent="0.3">
      <c r="D13" t="s">
        <v>98</v>
      </c>
      <c r="F13" t="s">
        <v>92</v>
      </c>
      <c r="H13" s="51">
        <f>-H36/H35</f>
        <v>-1.2810404939801835E-2</v>
      </c>
      <c r="I13" s="51">
        <f>-I36/I35</f>
        <v>0.34783962282786918</v>
      </c>
      <c r="J13" s="51">
        <f>-J36/J35</f>
        <v>0.30329336440191795</v>
      </c>
      <c r="K13" s="51">
        <f>-K36/K35</f>
        <v>0.25191858525191868</v>
      </c>
      <c r="L13" s="51">
        <f>-L36/L35</f>
        <v>0.25560460784368472</v>
      </c>
      <c r="M13" s="51">
        <f>L13</f>
        <v>0.25560460784368472</v>
      </c>
      <c r="N13" s="51">
        <f>M13+0.5%</f>
        <v>0.26060460784368472</v>
      </c>
      <c r="O13" s="51">
        <f t="shared" si="6"/>
        <v>0.26060460784368472</v>
      </c>
      <c r="P13" s="51">
        <f>O13+0.5%</f>
        <v>0.26560460784368473</v>
      </c>
      <c r="Q13" s="51">
        <f t="shared" si="6"/>
        <v>0.26560460784368473</v>
      </c>
      <c r="R13" s="51">
        <f>Q13+0.5%</f>
        <v>0.27060460784368473</v>
      </c>
      <c r="S13" s="51">
        <f t="shared" si="2"/>
        <v>0.27060460784368473</v>
      </c>
      <c r="T13" s="51">
        <f>S13+0.5%</f>
        <v>0.27560460784368473</v>
      </c>
      <c r="U13" s="51">
        <f t="shared" si="4"/>
        <v>0.27560460784368473</v>
      </c>
      <c r="V13" s="51">
        <f>U13+0.5%</f>
        <v>0.28060460784368474</v>
      </c>
    </row>
    <row r="14" spans="1:22" x14ac:dyDescent="0.3">
      <c r="D14" t="s">
        <v>99</v>
      </c>
      <c r="F14" t="s">
        <v>92</v>
      </c>
      <c r="H14" s="51">
        <f>-H102/H37</f>
        <v>0</v>
      </c>
      <c r="I14" s="51">
        <f>-I102/I37</f>
        <v>0</v>
      </c>
      <c r="J14" s="51">
        <f>-J102/J37</f>
        <v>0</v>
      </c>
      <c r="K14" s="51">
        <f>-K102/K37</f>
        <v>0</v>
      </c>
      <c r="L14" s="51">
        <f>-L102/L37</f>
        <v>0.19568390151134599</v>
      </c>
      <c r="M14" s="51">
        <f>AVERAGE(H14:L14)</f>
        <v>3.9136780302269199E-2</v>
      </c>
      <c r="N14" s="51">
        <f>M14</f>
        <v>3.9136780302269199E-2</v>
      </c>
      <c r="O14" s="51">
        <f t="shared" si="6"/>
        <v>3.9136780302269199E-2</v>
      </c>
      <c r="P14" s="51">
        <f t="shared" ref="P14" si="8">O14</f>
        <v>3.9136780302269199E-2</v>
      </c>
      <c r="Q14" s="51">
        <f t="shared" si="6"/>
        <v>3.9136780302269199E-2</v>
      </c>
      <c r="R14" s="51">
        <f t="shared" ref="R14" si="9">Q14</f>
        <v>3.9136780302269199E-2</v>
      </c>
      <c r="S14" s="51">
        <f t="shared" si="2"/>
        <v>3.9136780302269199E-2</v>
      </c>
      <c r="T14" s="51">
        <f t="shared" ref="T14" si="10">S14</f>
        <v>3.9136780302269199E-2</v>
      </c>
      <c r="U14" s="51">
        <f t="shared" si="4"/>
        <v>3.9136780302269199E-2</v>
      </c>
      <c r="V14" s="51">
        <f t="shared" ref="V14" si="11">U14</f>
        <v>3.9136780302269199E-2</v>
      </c>
    </row>
    <row r="15" spans="1:22" x14ac:dyDescent="0.3">
      <c r="D15" t="s">
        <v>313</v>
      </c>
      <c r="F15" t="s">
        <v>100</v>
      </c>
      <c r="H15" s="37"/>
      <c r="I15" s="37">
        <f>AVERAGE(I45,H45)/I23*365</f>
        <v>15.453008410262214</v>
      </c>
      <c r="J15" s="37">
        <f>AVERAGE(J45,I45)/J23*365</f>
        <v>15.873678583483578</v>
      </c>
      <c r="K15" s="37">
        <f>AVERAGE(K45,J45)/K23*365</f>
        <v>20.14302474324435</v>
      </c>
      <c r="L15" s="37">
        <f>AVERAGE(L45,K45)/L23*365</f>
        <v>21.212450354320133</v>
      </c>
      <c r="M15" s="37">
        <f>AVERAGE(I15:L15)</f>
        <v>18.170540522827569</v>
      </c>
      <c r="N15" s="37">
        <f>M15</f>
        <v>18.170540522827569</v>
      </c>
      <c r="O15" s="37">
        <f>N15</f>
        <v>18.170540522827569</v>
      </c>
      <c r="P15" s="37">
        <f>O15</f>
        <v>18.170540522827569</v>
      </c>
      <c r="Q15" s="37">
        <f>P15</f>
        <v>18.170540522827569</v>
      </c>
      <c r="R15" s="37">
        <f>Q15</f>
        <v>18.170540522827569</v>
      </c>
      <c r="S15" s="37">
        <f t="shared" si="2"/>
        <v>18.170540522827569</v>
      </c>
      <c r="T15" s="37">
        <f t="shared" si="3"/>
        <v>18.170540522827569</v>
      </c>
      <c r="U15" s="37">
        <f t="shared" si="4"/>
        <v>18.170540522827569</v>
      </c>
      <c r="V15" s="37">
        <f t="shared" si="5"/>
        <v>18.170540522827569</v>
      </c>
    </row>
    <row r="16" spans="1:22" x14ac:dyDescent="0.3">
      <c r="D16" t="s">
        <v>101</v>
      </c>
      <c r="F16" t="s">
        <v>100</v>
      </c>
      <c r="H16" s="37"/>
      <c r="I16" s="37">
        <f>-AVERAGE(I47,H47)/I24*365</f>
        <v>161.46429494820921</v>
      </c>
      <c r="J16" s="37">
        <f>-AVERAGE(J47,I47)/J24*365</f>
        <v>279.53809247514783</v>
      </c>
      <c r="K16" s="37">
        <f>-AVERAGE(K47,J47)/K24*365</f>
        <v>251.83732815047964</v>
      </c>
      <c r="L16" s="37">
        <f>-AVERAGE(L47,K47)/L24*365</f>
        <v>335.51989442458171</v>
      </c>
      <c r="M16" s="37">
        <f>AVERAGE(I16:L16)</f>
        <v>257.08990249960459</v>
      </c>
      <c r="N16" s="37">
        <f t="shared" ref="N16:R17" si="12">M16</f>
        <v>257.08990249960459</v>
      </c>
      <c r="O16" s="37">
        <f t="shared" si="12"/>
        <v>257.08990249960459</v>
      </c>
      <c r="P16" s="37">
        <f t="shared" si="12"/>
        <v>257.08990249960459</v>
      </c>
      <c r="Q16" s="37">
        <f t="shared" si="12"/>
        <v>257.08990249960459</v>
      </c>
      <c r="R16" s="37">
        <f t="shared" si="12"/>
        <v>257.08990249960459</v>
      </c>
      <c r="S16" s="37">
        <f t="shared" si="2"/>
        <v>257.08990249960459</v>
      </c>
      <c r="T16" s="37">
        <f t="shared" si="3"/>
        <v>257.08990249960459</v>
      </c>
      <c r="U16" s="37">
        <f t="shared" si="4"/>
        <v>257.08990249960459</v>
      </c>
      <c r="V16" s="37">
        <f t="shared" si="5"/>
        <v>257.08990249960459</v>
      </c>
    </row>
    <row r="17" spans="1:22" x14ac:dyDescent="0.3">
      <c r="D17" s="24" t="s">
        <v>124</v>
      </c>
      <c r="F17" t="s">
        <v>100</v>
      </c>
      <c r="H17" s="37"/>
      <c r="I17" s="37">
        <f>-AVERAGE(H61,I61)/I24*365</f>
        <v>140.22212563720731</v>
      </c>
      <c r="J17" s="37">
        <f>-AVERAGE(I61,J61)/J24*365</f>
        <v>197.39236193392196</v>
      </c>
      <c r="K17" s="37">
        <f>-AVERAGE(J61,K61)/K24*365</f>
        <v>145.43363143749659</v>
      </c>
      <c r="L17" s="37">
        <f>-AVERAGE(K61,L61)/L24*365</f>
        <v>180.18399847997205</v>
      </c>
      <c r="M17" s="37">
        <f>AVERAGE(I17:L17)</f>
        <v>165.80802937214949</v>
      </c>
      <c r="N17" s="37">
        <f t="shared" si="12"/>
        <v>165.80802937214949</v>
      </c>
      <c r="O17" s="37">
        <f t="shared" si="12"/>
        <v>165.80802937214949</v>
      </c>
      <c r="P17" s="37">
        <f t="shared" si="12"/>
        <v>165.80802937214949</v>
      </c>
      <c r="Q17" s="37">
        <f t="shared" si="12"/>
        <v>165.80802937214949</v>
      </c>
      <c r="R17" s="37">
        <f t="shared" si="12"/>
        <v>165.80802937214949</v>
      </c>
      <c r="S17" s="37">
        <f t="shared" si="2"/>
        <v>165.80802937214949</v>
      </c>
      <c r="T17" s="37">
        <f t="shared" si="3"/>
        <v>165.80802937214949</v>
      </c>
      <c r="U17" s="37">
        <f t="shared" si="4"/>
        <v>165.80802937214949</v>
      </c>
      <c r="V17" s="37">
        <f t="shared" si="5"/>
        <v>165.80802937214949</v>
      </c>
    </row>
    <row r="18" spans="1:22" x14ac:dyDescent="0.3">
      <c r="D18" t="s">
        <v>547</v>
      </c>
      <c r="F18" t="s">
        <v>102</v>
      </c>
      <c r="H18" s="37">
        <f>H121/H23</f>
        <v>0</v>
      </c>
      <c r="I18" s="37">
        <f>I121/I23</f>
        <v>3.4850510323169277E-2</v>
      </c>
      <c r="J18" s="37">
        <f t="shared" ref="J18:L18" si="13">J121/J23</f>
        <v>0.22803025345607525</v>
      </c>
      <c r="K18" s="37">
        <f t="shared" si="13"/>
        <v>0.42094898888653748</v>
      </c>
      <c r="L18" s="37">
        <f t="shared" si="13"/>
        <v>0.14595343811267564</v>
      </c>
      <c r="M18" s="37">
        <v>0.13745356723999308</v>
      </c>
      <c r="N18" s="37">
        <v>0.28226000768005149</v>
      </c>
      <c r="O18" s="37">
        <v>0.21528376287691617</v>
      </c>
      <c r="P18" s="37">
        <f>AVERAGE(I18:O18)</f>
        <v>0.20925436122505975</v>
      </c>
      <c r="Q18" s="37">
        <f>P18-0.03</f>
        <v>0.17925436122505975</v>
      </c>
      <c r="R18" s="37">
        <f t="shared" ref="R18:V18" si="14">Q18-0.03</f>
        <v>0.14925436122505975</v>
      </c>
      <c r="S18" s="37">
        <f t="shared" si="14"/>
        <v>0.11925436122505975</v>
      </c>
      <c r="T18" s="37">
        <f t="shared" si="14"/>
        <v>8.9254361225059753E-2</v>
      </c>
      <c r="U18" s="37">
        <f t="shared" si="14"/>
        <v>5.9254361225059754E-2</v>
      </c>
      <c r="V18" s="37">
        <f t="shared" si="14"/>
        <v>2.9254361225059755E-2</v>
      </c>
    </row>
    <row r="19" spans="1:22" x14ac:dyDescent="0.3">
      <c r="D19" t="s">
        <v>243</v>
      </c>
      <c r="F19" t="s">
        <v>92</v>
      </c>
      <c r="H19" s="51">
        <f t="shared" ref="H19:V19" si="15">H48/H57</f>
        <v>4.8364854165681564E-2</v>
      </c>
      <c r="I19" s="51">
        <f t="shared" si="15"/>
        <v>1.3110429839688317E-2</v>
      </c>
      <c r="J19" s="51">
        <f t="shared" si="15"/>
        <v>3.3082915985738182E-3</v>
      </c>
      <c r="K19" s="51">
        <f t="shared" si="15"/>
        <v>4.2574975545120471E-2</v>
      </c>
      <c r="L19" s="51">
        <f t="shared" si="15"/>
        <v>4.0513964600158769E-2</v>
      </c>
      <c r="M19" s="51">
        <f>M48/M57</f>
        <v>3.6913174591466265E-2</v>
      </c>
      <c r="N19" s="51">
        <f t="shared" si="15"/>
        <v>3.3608746751625167E-2</v>
      </c>
      <c r="O19" s="51">
        <f t="shared" si="15"/>
        <v>3.0934956411347938E-2</v>
      </c>
      <c r="P19" s="51">
        <f t="shared" ca="1" si="15"/>
        <v>2.8846530891314216E-2</v>
      </c>
      <c r="Q19" s="51">
        <f t="shared" ca="1" si="15"/>
        <v>2.6935243070832941E-2</v>
      </c>
      <c r="R19" s="51">
        <f t="shared" ca="1" si="15"/>
        <v>2.5135232609488824E-2</v>
      </c>
      <c r="S19" s="51">
        <f t="shared" ca="1" si="15"/>
        <v>2.3604624596375759E-2</v>
      </c>
      <c r="T19" s="51">
        <f t="shared" ca="1" si="15"/>
        <v>2.2024532879184419E-2</v>
      </c>
      <c r="U19" s="51">
        <f t="shared" ca="1" si="15"/>
        <v>2.0404585373693412E-2</v>
      </c>
      <c r="V19" s="51">
        <f t="shared" ca="1" si="15"/>
        <v>1.8896865393418789E-2</v>
      </c>
    </row>
    <row r="21" spans="1:22" ht="19.8" x14ac:dyDescent="0.4">
      <c r="A21" s="12" t="s">
        <v>30</v>
      </c>
      <c r="B21" s="13"/>
      <c r="C21" s="13"/>
      <c r="D21" s="6"/>
      <c r="E21" s="6"/>
      <c r="F21" s="6"/>
      <c r="G21" s="6"/>
      <c r="H21" s="20">
        <v>2022</v>
      </c>
      <c r="I21" s="20">
        <f t="shared" ref="I21:R21" si="16">H21+1</f>
        <v>2023</v>
      </c>
      <c r="J21" s="20">
        <f t="shared" si="16"/>
        <v>2024</v>
      </c>
      <c r="K21" s="20">
        <f>J21+1</f>
        <v>2025</v>
      </c>
      <c r="L21" s="20">
        <f>K21+1</f>
        <v>2026</v>
      </c>
      <c r="M21" s="21">
        <f>L21+1</f>
        <v>2027</v>
      </c>
      <c r="N21" s="22">
        <f t="shared" si="16"/>
        <v>2028</v>
      </c>
      <c r="O21" s="22">
        <f t="shared" si="16"/>
        <v>2029</v>
      </c>
      <c r="P21" s="22">
        <f t="shared" si="16"/>
        <v>2030</v>
      </c>
      <c r="Q21" s="22">
        <f t="shared" si="16"/>
        <v>2031</v>
      </c>
      <c r="R21" s="22">
        <f t="shared" si="16"/>
        <v>2032</v>
      </c>
      <c r="S21" s="22">
        <f>R21+1</f>
        <v>2033</v>
      </c>
      <c r="T21" s="22">
        <f>S21+1</f>
        <v>2034</v>
      </c>
      <c r="U21" s="22">
        <f>T21+1</f>
        <v>2035</v>
      </c>
      <c r="V21" s="22">
        <f>U21+1</f>
        <v>2036</v>
      </c>
    </row>
    <row r="22" spans="1:22" x14ac:dyDescent="0.3">
      <c r="B22" s="16" t="s">
        <v>31</v>
      </c>
    </row>
    <row r="23" spans="1:22" x14ac:dyDescent="0.3">
      <c r="D23" s="2" t="s">
        <v>32</v>
      </c>
      <c r="F23" s="2" t="s">
        <v>239</v>
      </c>
      <c r="H23" s="43">
        <f>Historical!H10</f>
        <v>2255.1907000000001</v>
      </c>
      <c r="I23" s="43">
        <f>Historical!I10</f>
        <v>2756.9294999999997</v>
      </c>
      <c r="J23" s="43">
        <f>Historical!J10</f>
        <v>2937.1322</v>
      </c>
      <c r="K23" s="43">
        <f>Historical!K10</f>
        <v>3173.9612999999999</v>
      </c>
      <c r="L23" s="43">
        <f>Historical!L10</f>
        <v>3795.7482</v>
      </c>
      <c r="M23" s="49">
        <f t="shared" ref="M23:V23" si="17">L23*(1+M7)</f>
        <v>4289.1954659999992</v>
      </c>
      <c r="N23" s="49">
        <f t="shared" si="17"/>
        <v>4791.0313355219987</v>
      </c>
      <c r="O23" s="49">
        <f t="shared" si="17"/>
        <v>5295.5269351524648</v>
      </c>
      <c r="P23" s="49">
        <f t="shared" si="17"/>
        <v>5797.384022796864</v>
      </c>
      <c r="Q23" s="49">
        <f t="shared" si="17"/>
        <v>6291.8602982532775</v>
      </c>
      <c r="R23" s="49">
        <f t="shared" si="17"/>
        <v>6774.8467746303031</v>
      </c>
      <c r="S23" s="49">
        <f t="shared" si="17"/>
        <v>7242.902849448622</v>
      </c>
      <c r="T23" s="49">
        <f t="shared" si="17"/>
        <v>7693.2563868346388</v>
      </c>
      <c r="U23" s="49">
        <f t="shared" si="17"/>
        <v>8123.7766864798386</v>
      </c>
      <c r="V23" s="49">
        <f t="shared" si="17"/>
        <v>8532.9279662122044</v>
      </c>
    </row>
    <row r="24" spans="1:22" x14ac:dyDescent="0.3">
      <c r="D24" t="s">
        <v>33</v>
      </c>
      <c r="F24" s="24" t="s">
        <v>239</v>
      </c>
      <c r="H24" s="44">
        <f>-Historical!H12</f>
        <v>-545.43389999999999</v>
      </c>
      <c r="I24" s="44">
        <f>-Historical!I12</f>
        <v>-643.58960000000002</v>
      </c>
      <c r="J24" s="44">
        <f>-Historical!J12</f>
        <v>-462.92870000000005</v>
      </c>
      <c r="K24" s="44">
        <f>-Historical!K12</f>
        <v>-566.20029999999997</v>
      </c>
      <c r="L24" s="44">
        <f>-Historical!L12</f>
        <v>-496.04349999999999</v>
      </c>
      <c r="M24" s="49">
        <f>-M23*M8</f>
        <v>-667.2352978471306</v>
      </c>
      <c r="N24" s="49">
        <f t="shared" ref="N24:V24" si="18">-N23*N8</f>
        <v>-745.30182769524481</v>
      </c>
      <c r="O24" s="49">
        <f t="shared" si="18"/>
        <v>-823.78211015155398</v>
      </c>
      <c r="P24" s="49">
        <f t="shared" si="18"/>
        <v>-901.85194073061677</v>
      </c>
      <c r="Q24" s="49">
        <f t="shared" si="18"/>
        <v>-978.77359831135334</v>
      </c>
      <c r="R24" s="49">
        <f t="shared" si="18"/>
        <v>-1053.9078811800466</v>
      </c>
      <c r="S24" s="49">
        <f t="shared" si="18"/>
        <v>-1126.7195627567332</v>
      </c>
      <c r="T24" s="49">
        <f t="shared" si="18"/>
        <v>-1196.7774043814002</v>
      </c>
      <c r="U24" s="49">
        <f t="shared" si="18"/>
        <v>-1263.7499503145636</v>
      </c>
      <c r="V24" s="49">
        <f t="shared" si="18"/>
        <v>-1327.3982913987606</v>
      </c>
    </row>
    <row r="25" spans="1:22" x14ac:dyDescent="0.3">
      <c r="D25" s="25" t="s">
        <v>34</v>
      </c>
      <c r="E25" s="25"/>
      <c r="F25" s="25" t="s">
        <v>239</v>
      </c>
      <c r="G25" s="25"/>
      <c r="H25" s="45">
        <f t="shared" ref="H25:V25" si="19">SUM(H23:H24)</f>
        <v>1709.7568000000001</v>
      </c>
      <c r="I25" s="45">
        <f t="shared" ref="I25:L25" si="20">SUM(I23:I24)</f>
        <v>2113.3398999999999</v>
      </c>
      <c r="J25" s="45">
        <f t="shared" si="20"/>
        <v>2474.2035000000001</v>
      </c>
      <c r="K25" s="45">
        <f t="shared" si="20"/>
        <v>2607.761</v>
      </c>
      <c r="L25" s="45">
        <f t="shared" si="20"/>
        <v>3299.7047000000002</v>
      </c>
      <c r="M25" s="45">
        <f t="shared" si="19"/>
        <v>3621.9601681528684</v>
      </c>
      <c r="N25" s="45">
        <f t="shared" si="19"/>
        <v>4045.7295078267539</v>
      </c>
      <c r="O25" s="45">
        <f t="shared" si="19"/>
        <v>4471.7448250009111</v>
      </c>
      <c r="P25" s="45">
        <f t="shared" si="19"/>
        <v>4895.5320820662473</v>
      </c>
      <c r="Q25" s="45">
        <f t="shared" si="19"/>
        <v>5313.0866999419241</v>
      </c>
      <c r="R25" s="45">
        <f t="shared" si="19"/>
        <v>5720.9388934502567</v>
      </c>
      <c r="S25" s="45">
        <f t="shared" si="19"/>
        <v>6116.1832866918885</v>
      </c>
      <c r="T25" s="45">
        <f t="shared" si="19"/>
        <v>6496.4789824532381</v>
      </c>
      <c r="U25" s="45">
        <f t="shared" si="19"/>
        <v>6860.026736165275</v>
      </c>
      <c r="V25" s="45">
        <f t="shared" si="19"/>
        <v>7205.5296748134442</v>
      </c>
    </row>
    <row r="26" spans="1:22" x14ac:dyDescent="0.3">
      <c r="C26" s="16" t="s">
        <v>35</v>
      </c>
      <c r="D26" s="2"/>
      <c r="H26" s="44"/>
      <c r="I26" s="44"/>
      <c r="J26" s="44"/>
      <c r="K26" s="44"/>
      <c r="L26" s="44"/>
      <c r="M26" s="49"/>
      <c r="N26" s="49"/>
      <c r="O26" s="49"/>
      <c r="P26" s="49"/>
      <c r="Q26" s="49"/>
      <c r="R26" s="49"/>
      <c r="S26" s="49"/>
      <c r="T26" s="49"/>
      <c r="U26" s="49"/>
      <c r="V26" s="49"/>
    </row>
    <row r="27" spans="1:22" x14ac:dyDescent="0.3">
      <c r="D27" t="s">
        <v>36</v>
      </c>
      <c r="F27" t="s">
        <v>239</v>
      </c>
      <c r="H27" s="44">
        <f>-Historical!H14</f>
        <v>-159.3501</v>
      </c>
      <c r="I27" s="44">
        <f>-Historical!I14</f>
        <v>-195.8732</v>
      </c>
      <c r="J27" s="44">
        <f>-Historical!J14</f>
        <v>-214.79490000000001</v>
      </c>
      <c r="K27" s="44">
        <f>-Historical!K14</f>
        <v>-247.46119999999999</v>
      </c>
      <c r="L27" s="44">
        <f>-Historical!L14</f>
        <v>-277.22820000000002</v>
      </c>
      <c r="M27" s="49">
        <f>-M23*M9</f>
        <v>-313.83204671541904</v>
      </c>
      <c r="N27" s="49">
        <f t="shared" ref="N27:V27" si="21">-N23*N9</f>
        <v>-350.55039618112301</v>
      </c>
      <c r="O27" s="49">
        <f t="shared" si="21"/>
        <v>-387.46335289899525</v>
      </c>
      <c r="P27" s="49">
        <f t="shared" si="21"/>
        <v>-424.18325485323305</v>
      </c>
      <c r="Q27" s="49">
        <f t="shared" si="21"/>
        <v>-460.3631172094299</v>
      </c>
      <c r="R27" s="49">
        <f t="shared" si="21"/>
        <v>-495.70229342995947</v>
      </c>
      <c r="S27" s="49">
        <f t="shared" si="21"/>
        <v>-529.94904135791182</v>
      </c>
      <c r="T27" s="49">
        <f t="shared" si="21"/>
        <v>-562.90052923104167</v>
      </c>
      <c r="U27" s="49">
        <f t="shared" si="21"/>
        <v>-594.40085787337102</v>
      </c>
      <c r="V27" s="49">
        <f t="shared" si="21"/>
        <v>-624.33765710588261</v>
      </c>
    </row>
    <row r="28" spans="1:22" x14ac:dyDescent="0.3">
      <c r="D28" t="s">
        <v>37</v>
      </c>
      <c r="F28" t="s">
        <v>239</v>
      </c>
      <c r="H28" s="44">
        <f>-SUM(Historical!H13,Historical!H17:H20)</f>
        <v>-1171.7834</v>
      </c>
      <c r="I28" s="44">
        <f>-SUM(Historical!I13,Historical!I17:I20)</f>
        <v>-1396.992</v>
      </c>
      <c r="J28" s="44">
        <f>-SUM(Historical!J13,Historical!J17:J20)</f>
        <v>-1676.6307000000002</v>
      </c>
      <c r="K28" s="44">
        <f>-SUM(Historical!K13,Historical!K17:K20)</f>
        <v>-1771.0920999999998</v>
      </c>
      <c r="L28" s="44">
        <f>-SUM(Historical!L13,Historical!L17:L20)</f>
        <v>-2067.2642999999998</v>
      </c>
      <c r="M28" s="49">
        <f t="shared" ref="M28:V28" si="22">M23*-M10</f>
        <v>-2315.9825626724132</v>
      </c>
      <c r="N28" s="49">
        <f t="shared" si="22"/>
        <v>-2586.9525225050852</v>
      </c>
      <c r="O28" s="49">
        <f t="shared" si="22"/>
        <v>-2859.3586231248705</v>
      </c>
      <c r="P28" s="49">
        <f t="shared" si="22"/>
        <v>-3130.3400398384142</v>
      </c>
      <c r="Q28" s="49">
        <f t="shared" si="22"/>
        <v>-3397.3361328563524</v>
      </c>
      <c r="R28" s="49">
        <f t="shared" si="22"/>
        <v>-3658.1282245580978</v>
      </c>
      <c r="S28" s="49">
        <f t="shared" si="22"/>
        <v>-3910.8585363904572</v>
      </c>
      <c r="T28" s="49">
        <f t="shared" si="22"/>
        <v>-4154.030233248689</v>
      </c>
      <c r="U28" s="49">
        <f t="shared" si="22"/>
        <v>-4386.4928278677762</v>
      </c>
      <c r="V28" s="49">
        <f t="shared" si="22"/>
        <v>-4607.4170633955546</v>
      </c>
    </row>
    <row r="29" spans="1:22" x14ac:dyDescent="0.3">
      <c r="D29" s="25" t="s">
        <v>38</v>
      </c>
      <c r="E29" s="25"/>
      <c r="F29" s="25" t="s">
        <v>239</v>
      </c>
      <c r="G29" s="25"/>
      <c r="H29" s="45">
        <f t="shared" ref="H29:V29" si="23">SUM(H25:H28)</f>
        <v>378.62329999999997</v>
      </c>
      <c r="I29" s="45">
        <f t="shared" ref="I29:L29" si="24">SUM(I25:I28)</f>
        <v>520.47469999999998</v>
      </c>
      <c r="J29" s="45">
        <f t="shared" si="24"/>
        <v>582.77790000000005</v>
      </c>
      <c r="K29" s="45">
        <f t="shared" si="24"/>
        <v>589.20769999999993</v>
      </c>
      <c r="L29" s="45">
        <f t="shared" si="24"/>
        <v>955.21220000000039</v>
      </c>
      <c r="M29" s="45">
        <f t="shared" si="23"/>
        <v>992.14555876503618</v>
      </c>
      <c r="N29" s="45">
        <f t="shared" si="23"/>
        <v>1108.2265891405455</v>
      </c>
      <c r="O29" s="45">
        <f t="shared" si="23"/>
        <v>1224.9228489770453</v>
      </c>
      <c r="P29" s="45">
        <f t="shared" si="23"/>
        <v>1341.0087873746002</v>
      </c>
      <c r="Q29" s="45">
        <f t="shared" si="23"/>
        <v>1455.3874498761415</v>
      </c>
      <c r="R29" s="45">
        <f t="shared" si="23"/>
        <v>1567.1083754621995</v>
      </c>
      <c r="S29" s="45">
        <f t="shared" si="23"/>
        <v>1675.3757089435198</v>
      </c>
      <c r="T29" s="45">
        <f t="shared" si="23"/>
        <v>1779.5482199735079</v>
      </c>
      <c r="U29" s="45">
        <f t="shared" si="23"/>
        <v>1879.1330504241278</v>
      </c>
      <c r="V29" s="45">
        <f t="shared" si="23"/>
        <v>1973.7749543120071</v>
      </c>
    </row>
    <row r="30" spans="1:22" x14ac:dyDescent="0.3">
      <c r="D30" t="s">
        <v>44</v>
      </c>
      <c r="F30" t="s">
        <v>239</v>
      </c>
      <c r="H30" s="44">
        <f>-Historical!H16</f>
        <v>-121.62950000000001</v>
      </c>
      <c r="I30" s="44">
        <f>-Historical!I16</f>
        <v>-131.1122</v>
      </c>
      <c r="J30" s="44">
        <f>-Historical!J16</f>
        <v>-146.5977</v>
      </c>
      <c r="K30" s="44">
        <f>-Historical!K16</f>
        <v>-331.91050000000001</v>
      </c>
      <c r="L30" s="44">
        <f>-Historical!L16</f>
        <v>-365.2867</v>
      </c>
      <c r="M30" s="49">
        <f t="shared" ref="M30:V30" si="25">M11*-L51</f>
        <v>-394.00280673921958</v>
      </c>
      <c r="N30" s="49">
        <f t="shared" si="25"/>
        <v>-423.76073404824388</v>
      </c>
      <c r="O30" s="49">
        <f t="shared" si="25"/>
        <v>-565.05525036232211</v>
      </c>
      <c r="P30" s="49">
        <f t="shared" si="25"/>
        <v>-738.31649720833627</v>
      </c>
      <c r="Q30" s="49">
        <f t="shared" si="25"/>
        <v>-820.06282098389147</v>
      </c>
      <c r="R30" s="49">
        <f t="shared" si="25"/>
        <v>-873.0521365594326</v>
      </c>
      <c r="S30" s="49">
        <f t="shared" si="25"/>
        <v>-1001.0145971383972</v>
      </c>
      <c r="T30" s="49">
        <f t="shared" si="25"/>
        <v>-974.63659248713407</v>
      </c>
      <c r="U30" s="49">
        <f>U11*-T51</f>
        <v>-919.29667858711082</v>
      </c>
      <c r="V30" s="49">
        <f t="shared" si="25"/>
        <v>-922.06081397320395</v>
      </c>
    </row>
    <row r="31" spans="1:22" x14ac:dyDescent="0.3">
      <c r="D31" s="25" t="s">
        <v>39</v>
      </c>
      <c r="E31" s="25"/>
      <c r="F31" s="25" t="s">
        <v>239</v>
      </c>
      <c r="G31" s="25"/>
      <c r="H31" s="45">
        <f t="shared" ref="H31:V31" si="26">SUM(H29:H30)</f>
        <v>256.99379999999996</v>
      </c>
      <c r="I31" s="45">
        <f t="shared" ref="I31:L31" si="27">SUM(I29:I30)</f>
        <v>389.36249999999995</v>
      </c>
      <c r="J31" s="45">
        <f t="shared" si="27"/>
        <v>436.18020000000001</v>
      </c>
      <c r="K31" s="45">
        <f t="shared" si="27"/>
        <v>257.29719999999992</v>
      </c>
      <c r="L31" s="45">
        <f t="shared" si="27"/>
        <v>589.9255000000004</v>
      </c>
      <c r="M31" s="45">
        <f t="shared" si="26"/>
        <v>598.14275202581666</v>
      </c>
      <c r="N31" s="45">
        <f t="shared" si="26"/>
        <v>684.46585509230158</v>
      </c>
      <c r="O31" s="45">
        <f t="shared" si="26"/>
        <v>659.86759861472319</v>
      </c>
      <c r="P31" s="45">
        <f t="shared" si="26"/>
        <v>602.69229016626389</v>
      </c>
      <c r="Q31" s="45">
        <f t="shared" si="26"/>
        <v>635.32462889225008</v>
      </c>
      <c r="R31" s="45">
        <f t="shared" si="26"/>
        <v>694.05623890276695</v>
      </c>
      <c r="S31" s="45">
        <f t="shared" si="26"/>
        <v>674.36111180512262</v>
      </c>
      <c r="T31" s="45">
        <f t="shared" si="26"/>
        <v>804.91162748637385</v>
      </c>
      <c r="U31" s="45">
        <f t="shared" si="26"/>
        <v>959.83637183701694</v>
      </c>
      <c r="V31" s="45">
        <f t="shared" si="26"/>
        <v>1051.7141403388032</v>
      </c>
    </row>
    <row r="32" spans="1:22" x14ac:dyDescent="0.3">
      <c r="D32" s="244" t="s">
        <v>515</v>
      </c>
      <c r="E32" s="244"/>
      <c r="F32" s="244" t="s">
        <v>239</v>
      </c>
      <c r="G32" s="244"/>
      <c r="H32" s="245">
        <f>-Historical!H15</f>
        <v>-13.340299999999999</v>
      </c>
      <c r="I32" s="245">
        <f>-Historical!I15</f>
        <v>-9.6950000000000003</v>
      </c>
      <c r="J32" s="245">
        <f>-Historical!J15</f>
        <v>-12.601199999999999</v>
      </c>
      <c r="K32" s="245">
        <f>-Historical!K15</f>
        <v>-31.623100000000001</v>
      </c>
      <c r="L32" s="245">
        <f>-Historical!L15</f>
        <v>-46.304499999999997</v>
      </c>
      <c r="M32" s="49">
        <f>M12*-AVERAGE(M126,M128)</f>
        <v>-28.570994328209792</v>
      </c>
      <c r="N32" s="49">
        <f t="shared" ref="N32:V32" si="28">N12*-M65</f>
        <v>-28.570994328209792</v>
      </c>
      <c r="O32" s="49">
        <f t="shared" si="28"/>
        <v>-28.570994328209792</v>
      </c>
      <c r="P32" s="49">
        <f t="shared" si="28"/>
        <v>-28.570994328209792</v>
      </c>
      <c r="Q32" s="49">
        <f t="shared" ca="1" si="28"/>
        <v>-28.570994328209792</v>
      </c>
      <c r="R32" s="49">
        <f t="shared" ca="1" si="28"/>
        <v>-28.570994328209792</v>
      </c>
      <c r="S32" s="49">
        <f t="shared" ca="1" si="28"/>
        <v>-28.570994328209792</v>
      </c>
      <c r="T32" s="49">
        <f t="shared" ca="1" si="28"/>
        <v>-28.570994328209792</v>
      </c>
      <c r="U32" s="49">
        <f t="shared" ca="1" si="28"/>
        <v>-28.570994328209792</v>
      </c>
      <c r="V32" s="49">
        <f t="shared" ca="1" si="28"/>
        <v>-28.570994328209792</v>
      </c>
    </row>
    <row r="33" spans="1:22" x14ac:dyDescent="0.3">
      <c r="D33" s="24" t="s">
        <v>1</v>
      </c>
      <c r="F33" t="s">
        <v>239</v>
      </c>
      <c r="H33" s="44">
        <f>SUM(H31:H32)</f>
        <v>243.65349999999995</v>
      </c>
      <c r="I33" s="44">
        <f t="shared" ref="I33:L33" si="29">SUM(I31:I32)</f>
        <v>379.66749999999996</v>
      </c>
      <c r="J33" s="44">
        <f t="shared" si="29"/>
        <v>423.57900000000001</v>
      </c>
      <c r="K33" s="44">
        <f t="shared" si="29"/>
        <v>225.67409999999992</v>
      </c>
      <c r="L33" s="44">
        <f t="shared" si="29"/>
        <v>543.62100000000044</v>
      </c>
      <c r="M33" s="49">
        <f>M31+M32</f>
        <v>569.57175769760693</v>
      </c>
      <c r="N33" s="49">
        <f t="shared" ref="N33:V33" si="30">N31+N32</f>
        <v>655.89486076409185</v>
      </c>
      <c r="O33" s="49">
        <f t="shared" si="30"/>
        <v>631.29660428651346</v>
      </c>
      <c r="P33" s="49">
        <f t="shared" si="30"/>
        <v>574.12129583805404</v>
      </c>
      <c r="Q33" s="49">
        <f t="shared" ca="1" si="30"/>
        <v>606.75363456404034</v>
      </c>
      <c r="R33" s="49">
        <f t="shared" ca="1" si="30"/>
        <v>665.4852445745571</v>
      </c>
      <c r="S33" s="49">
        <f t="shared" ca="1" si="30"/>
        <v>645.79011747691288</v>
      </c>
      <c r="T33" s="49">
        <f t="shared" ca="1" si="30"/>
        <v>776.34063315816411</v>
      </c>
      <c r="U33" s="49">
        <f t="shared" ca="1" si="30"/>
        <v>931.26537750880721</v>
      </c>
      <c r="V33" s="49">
        <f t="shared" ca="1" si="30"/>
        <v>1023.1431460105935</v>
      </c>
    </row>
    <row r="34" spans="1:22" x14ac:dyDescent="0.3">
      <c r="D34" s="244" t="s">
        <v>364</v>
      </c>
      <c r="F34" t="s">
        <v>239</v>
      </c>
      <c r="H34" s="46">
        <f>Historical!H23</f>
        <v>0</v>
      </c>
      <c r="I34" s="46">
        <f>Historical!I23</f>
        <v>0</v>
      </c>
      <c r="J34" s="46">
        <f>Historical!J23</f>
        <v>0</v>
      </c>
      <c r="K34" s="46">
        <f>Historical!K23</f>
        <v>0</v>
      </c>
      <c r="L34" s="46">
        <f>Historical!L23</f>
        <v>11.319700000000001</v>
      </c>
      <c r="M34" s="49">
        <v>0</v>
      </c>
      <c r="N34" s="49">
        <v>0</v>
      </c>
      <c r="O34" s="49">
        <v>0</v>
      </c>
      <c r="P34" s="49">
        <v>0</v>
      </c>
      <c r="Q34" s="49">
        <v>0</v>
      </c>
      <c r="R34" s="49">
        <v>0</v>
      </c>
      <c r="S34" s="49">
        <v>0</v>
      </c>
      <c r="T34" s="49">
        <v>0</v>
      </c>
      <c r="U34" s="49">
        <v>0</v>
      </c>
      <c r="V34" s="49">
        <v>0</v>
      </c>
    </row>
    <row r="35" spans="1:22" x14ac:dyDescent="0.3">
      <c r="D35" s="25" t="s">
        <v>41</v>
      </c>
      <c r="E35" s="25"/>
      <c r="F35" s="25" t="s">
        <v>239</v>
      </c>
      <c r="G35" s="25"/>
      <c r="H35" s="45">
        <f>SUM(H33:H34)</f>
        <v>243.65349999999995</v>
      </c>
      <c r="I35" s="45">
        <f t="shared" ref="I35:L35" si="31">SUM(I33:I34)</f>
        <v>379.66749999999996</v>
      </c>
      <c r="J35" s="45">
        <f t="shared" si="31"/>
        <v>423.57900000000001</v>
      </c>
      <c r="K35" s="45">
        <f t="shared" si="31"/>
        <v>225.67409999999992</v>
      </c>
      <c r="L35" s="45">
        <f t="shared" si="31"/>
        <v>554.94070000000045</v>
      </c>
      <c r="M35" s="45">
        <f>SUM(M33:M34)</f>
        <v>569.57175769760693</v>
      </c>
      <c r="N35" s="45">
        <f t="shared" ref="N35:V35" si="32">SUM(N33:N34)</f>
        <v>655.89486076409185</v>
      </c>
      <c r="O35" s="45">
        <f t="shared" si="32"/>
        <v>631.29660428651346</v>
      </c>
      <c r="P35" s="45">
        <f t="shared" si="32"/>
        <v>574.12129583805404</v>
      </c>
      <c r="Q35" s="45">
        <f t="shared" ca="1" si="32"/>
        <v>606.75363456404034</v>
      </c>
      <c r="R35" s="45">
        <f t="shared" ca="1" si="32"/>
        <v>665.4852445745571</v>
      </c>
      <c r="S35" s="45">
        <f t="shared" ca="1" si="32"/>
        <v>645.79011747691288</v>
      </c>
      <c r="T35" s="45">
        <f t="shared" ca="1" si="32"/>
        <v>776.34063315816411</v>
      </c>
      <c r="U35" s="45">
        <f t="shared" ca="1" si="32"/>
        <v>931.26537750880721</v>
      </c>
      <c r="V35" s="45">
        <f t="shared" ca="1" si="32"/>
        <v>1023.1431460105935</v>
      </c>
    </row>
    <row r="36" spans="1:22" x14ac:dyDescent="0.3">
      <c r="D36" t="s">
        <v>42</v>
      </c>
      <c r="F36" t="s">
        <v>239</v>
      </c>
      <c r="H36" s="44">
        <f>-SUM(Historical!H26:H28)</f>
        <v>3.1213000000000055</v>
      </c>
      <c r="I36" s="44">
        <f>-SUM(Historical!I26:I28)</f>
        <v>-132.0634</v>
      </c>
      <c r="J36" s="44">
        <f>-SUM(Historical!J26:J28)</f>
        <v>-128.46870000000001</v>
      </c>
      <c r="K36" s="44">
        <f>-SUM(Historical!K26:K28)</f>
        <v>-56.851500000000001</v>
      </c>
      <c r="L36" s="44">
        <f>-SUM(Historical!L26:L28)</f>
        <v>-141.84540000000001</v>
      </c>
      <c r="M36" s="49">
        <f t="shared" ref="M36:V36" si="33">-(M13)*M35</f>
        <v>-145.58516576513503</v>
      </c>
      <c r="N36" s="49">
        <f t="shared" si="33"/>
        <v>-170.92922297611435</v>
      </c>
      <c r="O36" s="49">
        <f t="shared" si="33"/>
        <v>-164.51880399313666</v>
      </c>
      <c r="P36" s="49">
        <f t="shared" si="33"/>
        <v>-152.48926163577445</v>
      </c>
      <c r="Q36" s="49">
        <f t="shared" ca="1" si="33"/>
        <v>-161.15656116611231</v>
      </c>
      <c r="R36" s="49">
        <f t="shared" ca="1" si="33"/>
        <v>-180.08337363385664</v>
      </c>
      <c r="S36" s="49">
        <f t="shared" ca="1" si="33"/>
        <v>-174.7537814891671</v>
      </c>
      <c r="T36" s="49">
        <f t="shared" ca="1" si="33"/>
        <v>-213.96305575467372</v>
      </c>
      <c r="U36" s="49">
        <f t="shared" ca="1" si="33"/>
        <v>-256.66102916671582</v>
      </c>
      <c r="V36" s="49">
        <f t="shared" ca="1" si="33"/>
        <v>-287.09868125425646</v>
      </c>
    </row>
    <row r="37" spans="1:22" ht="15" thickBot="1" x14ac:dyDescent="0.35">
      <c r="D37" s="27" t="s">
        <v>43</v>
      </c>
      <c r="E37" s="27"/>
      <c r="F37" s="27" t="s">
        <v>239</v>
      </c>
      <c r="G37" s="27"/>
      <c r="H37" s="47">
        <f t="shared" ref="H37" si="34">SUM(H35:H36)</f>
        <v>246.77479999999997</v>
      </c>
      <c r="I37" s="47">
        <f t="shared" ref="I37:L37" si="35">SUM(I35:I36)</f>
        <v>247.60409999999996</v>
      </c>
      <c r="J37" s="47">
        <f t="shared" si="35"/>
        <v>295.1103</v>
      </c>
      <c r="K37" s="47">
        <f t="shared" si="35"/>
        <v>168.82259999999991</v>
      </c>
      <c r="L37" s="47">
        <f t="shared" si="35"/>
        <v>413.09530000000041</v>
      </c>
      <c r="M37" s="47">
        <f t="shared" ref="M37:V37" si="36">SUM(M35:M36)</f>
        <v>423.98659193247192</v>
      </c>
      <c r="N37" s="47">
        <f t="shared" si="36"/>
        <v>484.96563778797747</v>
      </c>
      <c r="O37" s="47">
        <f t="shared" si="36"/>
        <v>466.7778002933768</v>
      </c>
      <c r="P37" s="47">
        <f t="shared" si="36"/>
        <v>421.63203420227956</v>
      </c>
      <c r="Q37" s="47">
        <f t="shared" ca="1" si="36"/>
        <v>445.59707339792806</v>
      </c>
      <c r="R37" s="47">
        <f t="shared" ca="1" si="36"/>
        <v>485.40187094070046</v>
      </c>
      <c r="S37" s="47">
        <f t="shared" ca="1" si="36"/>
        <v>471.03633598774582</v>
      </c>
      <c r="T37" s="47">
        <f t="shared" ca="1" si="36"/>
        <v>562.37757740349036</v>
      </c>
      <c r="U37" s="47">
        <f t="shared" ca="1" si="36"/>
        <v>674.60434834209138</v>
      </c>
      <c r="V37" s="47">
        <f t="shared" ca="1" si="36"/>
        <v>736.04446475633699</v>
      </c>
    </row>
    <row r="38" spans="1:22" ht="15" thickTop="1" x14ac:dyDescent="0.3">
      <c r="H38" s="46"/>
      <c r="I38" s="46"/>
      <c r="J38" s="46"/>
      <c r="K38" s="46"/>
      <c r="L38" s="46"/>
    </row>
    <row r="39" spans="1:22" ht="19.8" x14ac:dyDescent="0.4">
      <c r="A39" s="12" t="s">
        <v>24</v>
      </c>
      <c r="B39" s="13"/>
      <c r="C39" s="13"/>
      <c r="D39" s="6"/>
      <c r="E39" s="6"/>
      <c r="F39" s="6"/>
      <c r="G39" s="6"/>
      <c r="H39" s="48"/>
      <c r="I39" s="48"/>
      <c r="J39" s="48"/>
      <c r="K39" s="48"/>
      <c r="L39" s="48"/>
      <c r="M39" s="14"/>
      <c r="N39" s="15"/>
      <c r="O39" s="15"/>
      <c r="P39" s="15"/>
      <c r="Q39" s="15"/>
      <c r="R39" s="15"/>
      <c r="S39" s="15"/>
      <c r="T39" s="15"/>
      <c r="U39" s="15"/>
      <c r="V39" s="15"/>
    </row>
    <row r="40" spans="1:22" x14ac:dyDescent="0.3">
      <c r="H40" s="46"/>
      <c r="I40" s="46"/>
      <c r="J40" s="46"/>
      <c r="K40" s="46"/>
      <c r="L40" s="46"/>
    </row>
    <row r="41" spans="1:22" x14ac:dyDescent="0.3">
      <c r="B41" s="16" t="s">
        <v>45</v>
      </c>
      <c r="C41"/>
      <c r="H41" s="46"/>
      <c r="I41" s="46"/>
      <c r="J41" s="46"/>
      <c r="K41" s="46"/>
      <c r="L41" s="46"/>
    </row>
    <row r="42" spans="1:22" x14ac:dyDescent="0.3">
      <c r="C42" s="2" t="s">
        <v>46</v>
      </c>
      <c r="H42" s="46"/>
      <c r="I42" s="46"/>
      <c r="J42" s="46"/>
      <c r="K42" s="46"/>
      <c r="L42" s="46"/>
    </row>
    <row r="43" spans="1:22" x14ac:dyDescent="0.3">
      <c r="D43" t="s">
        <v>47</v>
      </c>
      <c r="F43" t="s">
        <v>239</v>
      </c>
      <c r="H43" s="44">
        <f>Historical!H59</f>
        <v>8.0754999999999999</v>
      </c>
      <c r="I43" s="44">
        <f>Historical!I59</f>
        <v>121.6223</v>
      </c>
      <c r="J43" s="44">
        <f>Historical!J59</f>
        <v>47.786899999999996</v>
      </c>
      <c r="K43" s="44">
        <f>Historical!K59</f>
        <v>39.846299999999999</v>
      </c>
      <c r="L43" s="44">
        <f>Historical!L59</f>
        <v>13.1363</v>
      </c>
      <c r="M43" s="49">
        <f t="shared" ref="M43:V43" si="37">M107</f>
        <v>294.62019383965981</v>
      </c>
      <c r="N43" s="49">
        <f t="shared" si="37"/>
        <v>-212.45596423309883</v>
      </c>
      <c r="O43" s="49">
        <f t="shared" si="37"/>
        <v>-383.67393531412313</v>
      </c>
      <c r="P43" s="49">
        <f t="shared" ca="1" si="37"/>
        <v>-497.86249114808447</v>
      </c>
      <c r="Q43" s="49">
        <f t="shared" ca="1" si="37"/>
        <v>-421.33852935926529</v>
      </c>
      <c r="R43" s="49">
        <f t="shared" ca="1" si="37"/>
        <v>-135.89132671795892</v>
      </c>
      <c r="S43" s="49">
        <f t="shared" ca="1" si="37"/>
        <v>412.46682026602605</v>
      </c>
      <c r="T43" s="49">
        <f t="shared" ca="1" si="37"/>
        <v>1200.8744436374398</v>
      </c>
      <c r="U43" s="49">
        <f t="shared" ca="1" si="37"/>
        <v>2248.8231534131946</v>
      </c>
      <c r="V43" s="49">
        <f t="shared" ca="1" si="37"/>
        <v>3592.2105284266345</v>
      </c>
    </row>
    <row r="44" spans="1:22" x14ac:dyDescent="0.3">
      <c r="D44" t="s">
        <v>48</v>
      </c>
      <c r="F44" t="s">
        <v>239</v>
      </c>
      <c r="H44" s="44">
        <f>Historical!H60</f>
        <v>376.5917</v>
      </c>
      <c r="I44" s="44">
        <f>Historical!I60</f>
        <v>190.12060000000002</v>
      </c>
      <c r="J44" s="44">
        <f>Historical!J60</f>
        <v>49.554799999999993</v>
      </c>
      <c r="K44" s="44">
        <f>Historical!K60</f>
        <v>12.583499999999999</v>
      </c>
      <c r="L44" s="44">
        <f>Historical!L60</f>
        <v>111.53489999999999</v>
      </c>
      <c r="M44" s="49">
        <f t="shared" ref="M44:V44" si="38">L44</f>
        <v>111.53489999999999</v>
      </c>
      <c r="N44" s="49">
        <f t="shared" si="38"/>
        <v>111.53489999999999</v>
      </c>
      <c r="O44" s="49">
        <f t="shared" si="38"/>
        <v>111.53489999999999</v>
      </c>
      <c r="P44" s="49">
        <f t="shared" si="38"/>
        <v>111.53489999999999</v>
      </c>
      <c r="Q44" s="49">
        <f t="shared" si="38"/>
        <v>111.53489999999999</v>
      </c>
      <c r="R44" s="49">
        <f t="shared" si="38"/>
        <v>111.53489999999999</v>
      </c>
      <c r="S44" s="49">
        <f t="shared" si="38"/>
        <v>111.53489999999999</v>
      </c>
      <c r="T44" s="49">
        <f t="shared" si="38"/>
        <v>111.53489999999999</v>
      </c>
      <c r="U44" s="49">
        <f t="shared" si="38"/>
        <v>111.53489999999999</v>
      </c>
      <c r="V44" s="49">
        <f t="shared" si="38"/>
        <v>111.53489999999999</v>
      </c>
    </row>
    <row r="45" spans="1:22" x14ac:dyDescent="0.3">
      <c r="D45" t="s">
        <v>49</v>
      </c>
      <c r="F45" t="s">
        <v>239</v>
      </c>
      <c r="H45" s="44">
        <f>Historical!H58</f>
        <v>128.7492</v>
      </c>
      <c r="I45" s="44">
        <f>Historical!I58</f>
        <v>104.69110000000001</v>
      </c>
      <c r="J45" s="44">
        <f>Historical!J58</f>
        <v>150.77790000000002</v>
      </c>
      <c r="K45" s="44">
        <f>Historical!K58</f>
        <v>199.54089999999999</v>
      </c>
      <c r="L45" s="44">
        <f>Historical!L58</f>
        <v>241.64880000000002</v>
      </c>
      <c r="M45" s="49">
        <f t="shared" ref="M45:V45" si="39">M15*M23/365</f>
        <v>213.526027466524</v>
      </c>
      <c r="N45" s="49">
        <f t="shared" si="39"/>
        <v>238.50857268010728</v>
      </c>
      <c r="O45" s="49">
        <f t="shared" si="39"/>
        <v>263.6235253833226</v>
      </c>
      <c r="P45" s="49">
        <f t="shared" si="39"/>
        <v>288.60712688390004</v>
      </c>
      <c r="Q45" s="49">
        <f t="shared" si="39"/>
        <v>313.22329455720859</v>
      </c>
      <c r="R45" s="49">
        <f t="shared" si="39"/>
        <v>337.26747357360978</v>
      </c>
      <c r="S45" s="49">
        <f t="shared" si="39"/>
        <v>360.568382818656</v>
      </c>
      <c r="T45" s="49">
        <f t="shared" si="39"/>
        <v>382.98801898487892</v>
      </c>
      <c r="U45" s="49">
        <f t="shared" si="39"/>
        <v>404.42031090433915</v>
      </c>
      <c r="V45" s="49">
        <f t="shared" si="39"/>
        <v>424.78880380391092</v>
      </c>
    </row>
    <row r="46" spans="1:22" x14ac:dyDescent="0.3">
      <c r="A46"/>
      <c r="D46" t="s">
        <v>123</v>
      </c>
      <c r="F46" t="s">
        <v>239</v>
      </c>
      <c r="H46" s="44">
        <f>Historical!H61</f>
        <v>34.097700000000003</v>
      </c>
      <c r="I46" s="44">
        <f>Historical!I61</f>
        <v>17.307000000000002</v>
      </c>
      <c r="J46" s="44">
        <f>Historical!J61</f>
        <v>3.25</v>
      </c>
      <c r="K46" s="44">
        <f>Historical!K61</f>
        <v>0.4</v>
      </c>
      <c r="L46" s="44">
        <f>Historical!L61</f>
        <v>0</v>
      </c>
      <c r="M46" s="49">
        <f t="shared" ref="M46:V46" si="40">L46</f>
        <v>0</v>
      </c>
      <c r="N46" s="49">
        <f t="shared" si="40"/>
        <v>0</v>
      </c>
      <c r="O46" s="49">
        <f t="shared" si="40"/>
        <v>0</v>
      </c>
      <c r="P46" s="49">
        <f t="shared" si="40"/>
        <v>0</v>
      </c>
      <c r="Q46" s="49">
        <f t="shared" si="40"/>
        <v>0</v>
      </c>
      <c r="R46" s="49">
        <f t="shared" si="40"/>
        <v>0</v>
      </c>
      <c r="S46" s="49">
        <f t="shared" si="40"/>
        <v>0</v>
      </c>
      <c r="T46" s="49">
        <f t="shared" si="40"/>
        <v>0</v>
      </c>
      <c r="U46" s="49">
        <f t="shared" si="40"/>
        <v>0</v>
      </c>
      <c r="V46" s="49">
        <f t="shared" si="40"/>
        <v>0</v>
      </c>
    </row>
    <row r="47" spans="1:22" x14ac:dyDescent="0.3">
      <c r="A47"/>
      <c r="D47" t="s">
        <v>50</v>
      </c>
      <c r="F47" t="s">
        <v>239</v>
      </c>
      <c r="H47" s="44">
        <f>Historical!H56</f>
        <v>195.29519999999999</v>
      </c>
      <c r="I47" s="44">
        <f>Historical!I56</f>
        <v>374.11160000000001</v>
      </c>
      <c r="J47" s="44">
        <f>Historical!J56</f>
        <v>334.96350000000001</v>
      </c>
      <c r="K47" s="44">
        <f>Historical!K56</f>
        <v>446.35360000000003</v>
      </c>
      <c r="L47" s="44">
        <f>Historical!L56</f>
        <v>465.60509999999999</v>
      </c>
      <c r="M47" s="49">
        <f t="shared" ref="M47:V47" si="41">M16*-M24/365</f>
        <v>469.97111689811902</v>
      </c>
      <c r="N47" s="49">
        <f t="shared" si="41"/>
        <v>524.95773757519885</v>
      </c>
      <c r="O47" s="49">
        <f t="shared" si="41"/>
        <v>580.23578734186719</v>
      </c>
      <c r="P47" s="49">
        <f t="shared" si="41"/>
        <v>635.22473290825599</v>
      </c>
      <c r="Q47" s="49">
        <f t="shared" si="41"/>
        <v>689.40495605219996</v>
      </c>
      <c r="R47" s="49">
        <f t="shared" si="41"/>
        <v>742.32623127710428</v>
      </c>
      <c r="S47" s="49">
        <f t="shared" si="41"/>
        <v>793.61156858500181</v>
      </c>
      <c r="T47" s="49">
        <f t="shared" si="41"/>
        <v>842.9572224825863</v>
      </c>
      <c r="U47" s="49">
        <f t="shared" si="41"/>
        <v>890.12973016507203</v>
      </c>
      <c r="V47" s="49">
        <f t="shared" si="41"/>
        <v>934.96081455849071</v>
      </c>
    </row>
    <row r="48" spans="1:22" x14ac:dyDescent="0.3">
      <c r="A48"/>
      <c r="D48" t="s">
        <v>70</v>
      </c>
      <c r="F48" t="s">
        <v>239</v>
      </c>
      <c r="H48" s="44">
        <f>Historical!H62</f>
        <v>132.76609999999999</v>
      </c>
      <c r="I48" s="44">
        <f>Historical!I62</f>
        <v>41.053999999999995</v>
      </c>
      <c r="J48" s="44">
        <f>Historical!J62</f>
        <v>11.9177</v>
      </c>
      <c r="K48" s="44">
        <f>Historical!K62</f>
        <v>174.84900000000002</v>
      </c>
      <c r="L48" s="44">
        <f>Historical!L62</f>
        <v>188.26259999999999</v>
      </c>
      <c r="M48" s="49">
        <f t="shared" ref="M48:V48" si="42">L48</f>
        <v>188.26259999999999</v>
      </c>
      <c r="N48" s="49">
        <f t="shared" si="42"/>
        <v>188.26259999999999</v>
      </c>
      <c r="O48" s="49">
        <f t="shared" si="42"/>
        <v>188.26259999999999</v>
      </c>
      <c r="P48" s="49">
        <f t="shared" si="42"/>
        <v>188.26259999999999</v>
      </c>
      <c r="Q48" s="49">
        <f t="shared" si="42"/>
        <v>188.26259999999999</v>
      </c>
      <c r="R48" s="49">
        <f t="shared" si="42"/>
        <v>188.26259999999999</v>
      </c>
      <c r="S48" s="49">
        <f t="shared" si="42"/>
        <v>188.26259999999999</v>
      </c>
      <c r="T48" s="49">
        <f t="shared" si="42"/>
        <v>188.26259999999999</v>
      </c>
      <c r="U48" s="49">
        <f t="shared" si="42"/>
        <v>188.26259999999999</v>
      </c>
      <c r="V48" s="49">
        <f t="shared" si="42"/>
        <v>188.26259999999999</v>
      </c>
    </row>
    <row r="49" spans="1:22" x14ac:dyDescent="0.3">
      <c r="A49"/>
      <c r="D49" t="s">
        <v>51</v>
      </c>
      <c r="F49" t="s">
        <v>239</v>
      </c>
      <c r="H49" s="44">
        <f>Historical!H63</f>
        <v>88.912599999999998</v>
      </c>
      <c r="I49" s="44">
        <f>Historical!I63</f>
        <v>148.5197</v>
      </c>
      <c r="J49" s="44">
        <f>Historical!J63</f>
        <v>167.447</v>
      </c>
      <c r="K49" s="44">
        <f>Historical!K63</f>
        <v>161.08620000000002</v>
      </c>
      <c r="L49" s="44">
        <f>Historical!L63</f>
        <v>181.2895</v>
      </c>
      <c r="M49" s="49">
        <f t="shared" ref="M49:V49" si="43">L49</f>
        <v>181.2895</v>
      </c>
      <c r="N49" s="49">
        <f t="shared" si="43"/>
        <v>181.2895</v>
      </c>
      <c r="O49" s="49">
        <f t="shared" si="43"/>
        <v>181.2895</v>
      </c>
      <c r="P49" s="49">
        <f t="shared" si="43"/>
        <v>181.2895</v>
      </c>
      <c r="Q49" s="49">
        <f t="shared" si="43"/>
        <v>181.2895</v>
      </c>
      <c r="R49" s="49">
        <f t="shared" si="43"/>
        <v>181.2895</v>
      </c>
      <c r="S49" s="49">
        <f t="shared" si="43"/>
        <v>181.2895</v>
      </c>
      <c r="T49" s="49">
        <f t="shared" si="43"/>
        <v>181.2895</v>
      </c>
      <c r="U49" s="49">
        <f t="shared" si="43"/>
        <v>181.2895</v>
      </c>
      <c r="V49" s="49">
        <f t="shared" si="43"/>
        <v>181.2895</v>
      </c>
    </row>
    <row r="50" spans="1:22" x14ac:dyDescent="0.3">
      <c r="A50"/>
      <c r="C50" s="16" t="s">
        <v>52</v>
      </c>
      <c r="H50" s="44"/>
      <c r="I50" s="44"/>
      <c r="J50" s="44"/>
      <c r="K50" s="44"/>
      <c r="L50" s="44"/>
      <c r="M50" s="49"/>
      <c r="N50" s="49"/>
      <c r="O50" s="49"/>
      <c r="P50" s="49"/>
      <c r="Q50" s="49"/>
      <c r="R50" s="108"/>
      <c r="S50" s="108"/>
      <c r="T50" s="49"/>
      <c r="U50" s="49"/>
      <c r="V50" s="49"/>
    </row>
    <row r="51" spans="1:22" x14ac:dyDescent="0.3">
      <c r="A51"/>
      <c r="D51" t="s">
        <v>53</v>
      </c>
      <c r="F51" t="s">
        <v>239</v>
      </c>
      <c r="H51" s="44">
        <f>Historical!H42</f>
        <v>908.29130000000009</v>
      </c>
      <c r="I51" s="44">
        <f>Historical!I42</f>
        <v>873.2595</v>
      </c>
      <c r="J51" s="44">
        <f>Historical!J42</f>
        <v>1396.4168</v>
      </c>
      <c r="K51" s="44">
        <f>Historical!K42</f>
        <v>2400.5821000000001</v>
      </c>
      <c r="L51" s="44">
        <f>Historical!L42</f>
        <v>2589.2979</v>
      </c>
      <c r="M51" s="49">
        <f t="shared" ref="M51:V51" si="44">M123</f>
        <v>2784.860310652085</v>
      </c>
      <c r="N51" s="49">
        <f t="shared" si="44"/>
        <v>3713.4161181636482</v>
      </c>
      <c r="O51" s="49">
        <f t="shared" si="44"/>
        <v>4288.4018328170123</v>
      </c>
      <c r="P51" s="49">
        <f t="shared" si="44"/>
        <v>4763.2132260754015</v>
      </c>
      <c r="Q51" s="49">
        <f t="shared" si="44"/>
        <v>5070.993803772215</v>
      </c>
      <c r="R51" s="49">
        <f t="shared" si="44"/>
        <v>5209.1170949578845</v>
      </c>
      <c r="S51" s="49">
        <f t="shared" si="44"/>
        <v>5071.8502505456481</v>
      </c>
      <c r="T51" s="49">
        <f t="shared" si="44"/>
        <v>4783.8703426060511</v>
      </c>
      <c r="U51" s="49">
        <f t="shared" si="44"/>
        <v>4345.9428623113363</v>
      </c>
      <c r="V51" s="49">
        <f t="shared" si="44"/>
        <v>3673.5074053691187</v>
      </c>
    </row>
    <row r="52" spans="1:22" x14ac:dyDescent="0.3">
      <c r="A52"/>
      <c r="D52" t="s">
        <v>4</v>
      </c>
      <c r="F52" t="s">
        <v>239</v>
      </c>
      <c r="H52" s="44">
        <f>Historical!H43</f>
        <v>104.54950000000001</v>
      </c>
      <c r="I52" s="44">
        <f>Historical!I43</f>
        <v>550.62</v>
      </c>
      <c r="J52" s="44">
        <f>Historical!J43</f>
        <v>1019.0492999999999</v>
      </c>
      <c r="K52" s="44">
        <f>Historical!K43</f>
        <v>219.88990000000001</v>
      </c>
      <c r="L52" s="44">
        <f>Historical!L43</f>
        <v>94.798500000000004</v>
      </c>
      <c r="M52" s="49">
        <f t="shared" ref="M52:V52" si="45">L52</f>
        <v>94.798500000000004</v>
      </c>
      <c r="N52" s="49">
        <f t="shared" si="45"/>
        <v>94.798500000000004</v>
      </c>
      <c r="O52" s="49">
        <f t="shared" si="45"/>
        <v>94.798500000000004</v>
      </c>
      <c r="P52" s="49">
        <f t="shared" si="45"/>
        <v>94.798500000000004</v>
      </c>
      <c r="Q52" s="49">
        <f t="shared" si="45"/>
        <v>94.798500000000004</v>
      </c>
      <c r="R52" s="49">
        <f t="shared" si="45"/>
        <v>94.798500000000004</v>
      </c>
      <c r="S52" s="49">
        <f t="shared" si="45"/>
        <v>94.798500000000004</v>
      </c>
      <c r="T52" s="49">
        <f t="shared" si="45"/>
        <v>94.798500000000004</v>
      </c>
      <c r="U52" s="49">
        <f t="shared" si="45"/>
        <v>94.798500000000004</v>
      </c>
      <c r="V52" s="49">
        <f t="shared" si="45"/>
        <v>94.798500000000004</v>
      </c>
    </row>
    <row r="53" spans="1:22" x14ac:dyDescent="0.3">
      <c r="A53"/>
      <c r="D53" t="s">
        <v>54</v>
      </c>
      <c r="F53" t="s">
        <v>239</v>
      </c>
      <c r="H53" s="44">
        <f>SUM(Historical!H48:H50)</f>
        <v>290.0915</v>
      </c>
      <c r="I53" s="44">
        <f>SUM(Historical!I48:I50)</f>
        <v>225.80640000000002</v>
      </c>
      <c r="J53" s="44">
        <f>SUM(Historical!J48:J50)</f>
        <v>40.452500000000001</v>
      </c>
      <c r="K53" s="44">
        <f>SUM(Historical!K48:K50)</f>
        <v>40.938900000000004</v>
      </c>
      <c r="L53" s="44">
        <f>SUM(Historical!L48:L50)</f>
        <v>302.59349999999995</v>
      </c>
      <c r="M53" s="49">
        <f t="shared" ref="M53:V54" si="46">L53</f>
        <v>302.59349999999995</v>
      </c>
      <c r="N53" s="49">
        <f t="shared" si="46"/>
        <v>302.59349999999995</v>
      </c>
      <c r="O53" s="49">
        <f t="shared" si="46"/>
        <v>302.59349999999995</v>
      </c>
      <c r="P53" s="49">
        <f t="shared" si="46"/>
        <v>302.59349999999995</v>
      </c>
      <c r="Q53" s="49">
        <f t="shared" si="46"/>
        <v>302.59349999999995</v>
      </c>
      <c r="R53" s="49">
        <f t="shared" si="46"/>
        <v>302.59349999999995</v>
      </c>
      <c r="S53" s="49">
        <f t="shared" si="46"/>
        <v>302.59349999999995</v>
      </c>
      <c r="T53" s="49">
        <f t="shared" si="46"/>
        <v>302.59349999999995</v>
      </c>
      <c r="U53" s="49">
        <f t="shared" si="46"/>
        <v>302.59349999999995</v>
      </c>
      <c r="V53" s="49">
        <f t="shared" si="46"/>
        <v>302.59349999999995</v>
      </c>
    </row>
    <row r="54" spans="1:22" x14ac:dyDescent="0.3">
      <c r="A54"/>
      <c r="D54" t="s">
        <v>517</v>
      </c>
      <c r="H54" s="44">
        <f>SUM(Historical!H51:H52)</f>
        <v>364.99910000000006</v>
      </c>
      <c r="I54" s="44">
        <f>SUM(Historical!I51:I52)</f>
        <v>299.61270000000002</v>
      </c>
      <c r="J54" s="44">
        <f>SUM(Historical!J51:J52)</f>
        <v>250.68460000000002</v>
      </c>
      <c r="K54" s="44">
        <f>SUM(Historical!K51:K52)</f>
        <v>262.59559999999999</v>
      </c>
      <c r="L54" s="44">
        <f>SUM(Historical!L51:L52)</f>
        <v>229.14179999999999</v>
      </c>
      <c r="M54" s="49">
        <f>L54</f>
        <v>229.14179999999999</v>
      </c>
      <c r="N54" s="49">
        <f t="shared" si="46"/>
        <v>229.14179999999999</v>
      </c>
      <c r="O54" s="49">
        <f t="shared" si="46"/>
        <v>229.14179999999999</v>
      </c>
      <c r="P54" s="49">
        <f t="shared" si="46"/>
        <v>229.14179999999999</v>
      </c>
      <c r="Q54" s="49">
        <f t="shared" si="46"/>
        <v>229.14179999999999</v>
      </c>
      <c r="R54" s="49">
        <f t="shared" si="46"/>
        <v>229.14179999999999</v>
      </c>
      <c r="S54" s="49">
        <f t="shared" si="46"/>
        <v>229.14179999999999</v>
      </c>
      <c r="T54" s="49">
        <f t="shared" si="46"/>
        <v>229.14179999999999</v>
      </c>
      <c r="U54" s="49">
        <f t="shared" si="46"/>
        <v>229.14179999999999</v>
      </c>
      <c r="V54" s="49">
        <f t="shared" si="46"/>
        <v>229.14179999999999</v>
      </c>
    </row>
    <row r="55" spans="1:22" x14ac:dyDescent="0.3">
      <c r="A55"/>
      <c r="D55" t="s">
        <v>516</v>
      </c>
      <c r="F55" t="s">
        <v>239</v>
      </c>
      <c r="H55" s="44">
        <f>SUM(Historical!H44:H46)</f>
        <v>19.689499999999999</v>
      </c>
      <c r="I55" s="44">
        <f>SUM(Historical!I44:I46)</f>
        <v>17.681899999999999</v>
      </c>
      <c r="J55" s="44">
        <f>SUM(Historical!J44:J46)</f>
        <v>22.060500000000001</v>
      </c>
      <c r="K55" s="44">
        <f>SUM(Historical!K44:K46)</f>
        <v>19.9588</v>
      </c>
      <c r="L55" s="44">
        <f>SUM(Historical!L44:L46)</f>
        <v>22.484100000000002</v>
      </c>
      <c r="M55" s="49">
        <f t="shared" ref="M55:V55" si="47">L55</f>
        <v>22.484100000000002</v>
      </c>
      <c r="N55" s="49">
        <f t="shared" si="47"/>
        <v>22.484100000000002</v>
      </c>
      <c r="O55" s="49">
        <f t="shared" si="47"/>
        <v>22.484100000000002</v>
      </c>
      <c r="P55" s="49">
        <f t="shared" si="47"/>
        <v>22.484100000000002</v>
      </c>
      <c r="Q55" s="49">
        <f t="shared" si="47"/>
        <v>22.484100000000002</v>
      </c>
      <c r="R55" s="49">
        <f t="shared" si="47"/>
        <v>22.484100000000002</v>
      </c>
      <c r="S55" s="49">
        <f t="shared" si="47"/>
        <v>22.484100000000002</v>
      </c>
      <c r="T55" s="49">
        <f t="shared" si="47"/>
        <v>22.484100000000002</v>
      </c>
      <c r="U55" s="49">
        <f t="shared" si="47"/>
        <v>22.484100000000002</v>
      </c>
      <c r="V55" s="49">
        <f t="shared" si="47"/>
        <v>22.484100000000002</v>
      </c>
    </row>
    <row r="56" spans="1:22" x14ac:dyDescent="0.3">
      <c r="A56"/>
      <c r="D56" t="s">
        <v>55</v>
      </c>
      <c r="F56" t="s">
        <v>239</v>
      </c>
      <c r="H56" s="44">
        <f>Historical!H53</f>
        <v>92.985699999999994</v>
      </c>
      <c r="I56" s="44">
        <f>Historical!I53</f>
        <v>166.9932</v>
      </c>
      <c r="J56" s="44">
        <f>Historical!J53</f>
        <v>108.01139999999999</v>
      </c>
      <c r="K56" s="44">
        <f>Historical!K53</f>
        <v>128.2243</v>
      </c>
      <c r="L56" s="44">
        <f>Historical!L53</f>
        <v>207.06400000000002</v>
      </c>
      <c r="M56" s="49">
        <f t="shared" ref="M56:V56" si="48">L56</f>
        <v>207.06400000000002</v>
      </c>
      <c r="N56" s="49">
        <f t="shared" si="48"/>
        <v>207.06400000000002</v>
      </c>
      <c r="O56" s="49">
        <f t="shared" si="48"/>
        <v>207.06400000000002</v>
      </c>
      <c r="P56" s="49">
        <f t="shared" si="48"/>
        <v>207.06400000000002</v>
      </c>
      <c r="Q56" s="49">
        <f t="shared" si="48"/>
        <v>207.06400000000002</v>
      </c>
      <c r="R56" s="49">
        <f t="shared" si="48"/>
        <v>207.06400000000002</v>
      </c>
      <c r="S56" s="49">
        <f t="shared" si="48"/>
        <v>207.06400000000002</v>
      </c>
      <c r="T56" s="49">
        <f t="shared" si="48"/>
        <v>207.06400000000002</v>
      </c>
      <c r="U56" s="49">
        <f t="shared" si="48"/>
        <v>207.06400000000002</v>
      </c>
      <c r="V56" s="49">
        <f t="shared" si="48"/>
        <v>207.06400000000002</v>
      </c>
    </row>
    <row r="57" spans="1:22" ht="15" thickBot="1" x14ac:dyDescent="0.35">
      <c r="A57"/>
      <c r="D57" s="27" t="s">
        <v>56</v>
      </c>
      <c r="E57" s="27"/>
      <c r="F57" s="27" t="s">
        <v>239</v>
      </c>
      <c r="G57" s="27"/>
      <c r="H57" s="47">
        <f t="shared" ref="H57:V57" si="49">SUM(H43:H56)</f>
        <v>2745.0946000000004</v>
      </c>
      <c r="I57" s="47">
        <f t="shared" si="49"/>
        <v>3131.4</v>
      </c>
      <c r="J57" s="47">
        <f t="shared" si="49"/>
        <v>3602.3728999999994</v>
      </c>
      <c r="K57" s="47">
        <f t="shared" si="49"/>
        <v>4106.8491000000004</v>
      </c>
      <c r="L57" s="47">
        <f t="shared" si="49"/>
        <v>4646.857</v>
      </c>
      <c r="M57" s="47">
        <f t="shared" si="49"/>
        <v>5100.1465488563881</v>
      </c>
      <c r="N57" s="47">
        <f t="shared" si="49"/>
        <v>5601.5953641858559</v>
      </c>
      <c r="O57" s="47">
        <f t="shared" si="49"/>
        <v>6085.7561102280788</v>
      </c>
      <c r="P57" s="47">
        <f t="shared" ca="1" si="49"/>
        <v>6526.3514947194735</v>
      </c>
      <c r="Q57" s="47">
        <f t="shared" ca="1" si="49"/>
        <v>6989.4524250223585</v>
      </c>
      <c r="R57" s="47">
        <f t="shared" ca="1" si="49"/>
        <v>7489.9883730906395</v>
      </c>
      <c r="S57" s="47">
        <f t="shared" ca="1" si="49"/>
        <v>7975.6659222153321</v>
      </c>
      <c r="T57" s="47">
        <f t="shared" ca="1" si="49"/>
        <v>8547.858927710955</v>
      </c>
      <c r="U57" s="47">
        <f t="shared" ca="1" si="49"/>
        <v>9226.4849567939436</v>
      </c>
      <c r="V57" s="47">
        <f t="shared" ca="1" si="49"/>
        <v>9962.6364521581545</v>
      </c>
    </row>
    <row r="58" spans="1:22" ht="15" thickTop="1" x14ac:dyDescent="0.3">
      <c r="A58"/>
      <c r="H58" s="46"/>
      <c r="I58" s="46"/>
      <c r="J58" s="46"/>
      <c r="K58" s="46"/>
      <c r="L58" s="46"/>
    </row>
    <row r="59" spans="1:22" x14ac:dyDescent="0.3">
      <c r="A59"/>
      <c r="B59" s="16" t="s">
        <v>10</v>
      </c>
      <c r="H59" s="46"/>
      <c r="I59" s="46"/>
      <c r="J59" s="46"/>
      <c r="K59" s="46"/>
      <c r="L59" s="46"/>
    </row>
    <row r="60" spans="1:22" x14ac:dyDescent="0.3">
      <c r="A60"/>
      <c r="C60" s="16" t="s">
        <v>57</v>
      </c>
      <c r="H60" s="46"/>
      <c r="I60" s="46"/>
      <c r="J60" s="46"/>
      <c r="K60" s="46"/>
      <c r="L60" s="46"/>
    </row>
    <row r="61" spans="1:22" x14ac:dyDescent="0.3">
      <c r="A61"/>
      <c r="D61" t="s">
        <v>58</v>
      </c>
      <c r="F61" t="s">
        <v>239</v>
      </c>
      <c r="H61" s="44">
        <f>SUM(Historical!H85:H86)</f>
        <v>212.45349999999996</v>
      </c>
      <c r="I61" s="44">
        <f>SUM(Historical!I85:I86)</f>
        <v>282.04239999999999</v>
      </c>
      <c r="J61" s="44">
        <f>SUM(Historical!J85:J86)</f>
        <v>218.66219999999998</v>
      </c>
      <c r="K61" s="44">
        <f>SUM(Historical!K85:K86)</f>
        <v>232.54089999999999</v>
      </c>
      <c r="L61" s="44">
        <f>SUM(Historical!L85:L86)</f>
        <v>257.20760000000001</v>
      </c>
      <c r="M61" s="49">
        <f t="shared" ref="M61:V61" si="50">M17*M24/-365</f>
        <v>303.10402702348478</v>
      </c>
      <c r="N61" s="49">
        <f t="shared" si="50"/>
        <v>338.56719818523248</v>
      </c>
      <c r="O61" s="49">
        <f t="shared" si="50"/>
        <v>374.21832415413741</v>
      </c>
      <c r="P61" s="49">
        <f t="shared" si="50"/>
        <v>409.68299473422502</v>
      </c>
      <c r="Q61" s="49">
        <f t="shared" si="50"/>
        <v>444.62608640409132</v>
      </c>
      <c r="R61" s="49">
        <f t="shared" si="50"/>
        <v>478.75722991298903</v>
      </c>
      <c r="S61" s="49">
        <f t="shared" si="50"/>
        <v>511.83328864587355</v>
      </c>
      <c r="T61" s="49">
        <f t="shared" si="50"/>
        <v>543.65836443176988</v>
      </c>
      <c r="U61" s="49">
        <f t="shared" si="50"/>
        <v>574.08188734468388</v>
      </c>
      <c r="V61" s="49">
        <f t="shared" si="50"/>
        <v>602.99532846242948</v>
      </c>
    </row>
    <row r="62" spans="1:22" x14ac:dyDescent="0.3">
      <c r="A62"/>
      <c r="D62" t="s">
        <v>518</v>
      </c>
      <c r="H62" s="44">
        <f>SUM(Historical!H82:H83,Historical!H87)</f>
        <v>94.269899999999993</v>
      </c>
      <c r="I62" s="44">
        <f>SUM(Historical!I82:I83,Historical!I87)</f>
        <v>166.9059</v>
      </c>
      <c r="J62" s="44">
        <f>SUM(Historical!J82:J83,Historical!J87)</f>
        <v>462.13519999999994</v>
      </c>
      <c r="K62" s="44">
        <f>SUM(Historical!K82:K83,Historical!K87)</f>
        <v>506.56889999999999</v>
      </c>
      <c r="L62" s="44">
        <f>SUM(Historical!L82:L83,Historical!L87)</f>
        <v>417.75</v>
      </c>
      <c r="M62" s="49">
        <f>L62</f>
        <v>417.75</v>
      </c>
      <c r="N62" s="49">
        <f t="shared" ref="N62:V62" si="51">M62</f>
        <v>417.75</v>
      </c>
      <c r="O62" s="49">
        <f t="shared" si="51"/>
        <v>417.75</v>
      </c>
      <c r="P62" s="49">
        <f t="shared" si="51"/>
        <v>417.75</v>
      </c>
      <c r="Q62" s="49">
        <f t="shared" si="51"/>
        <v>417.75</v>
      </c>
      <c r="R62" s="49">
        <f t="shared" si="51"/>
        <v>417.75</v>
      </c>
      <c r="S62" s="49">
        <f t="shared" si="51"/>
        <v>417.75</v>
      </c>
      <c r="T62" s="49">
        <f t="shared" si="51"/>
        <v>417.75</v>
      </c>
      <c r="U62" s="49">
        <f t="shared" si="51"/>
        <v>417.75</v>
      </c>
      <c r="V62" s="49">
        <f t="shared" si="51"/>
        <v>417.75</v>
      </c>
    </row>
    <row r="63" spans="1:22" x14ac:dyDescent="0.3">
      <c r="A63"/>
      <c r="D63" t="s">
        <v>59</v>
      </c>
      <c r="E63" s="46"/>
      <c r="F63" t="s">
        <v>239</v>
      </c>
      <c r="H63" s="44">
        <f>SUM(Historical!H88:H90)</f>
        <v>92.629000000000005</v>
      </c>
      <c r="I63" s="44">
        <f>SUM(Historical!I88:I90)</f>
        <v>79.546900000000008</v>
      </c>
      <c r="J63" s="44">
        <f>SUM(Historical!J88:J90)</f>
        <v>99.195700000000002</v>
      </c>
      <c r="K63" s="44">
        <f>SUM(Historical!K88:K90)</f>
        <v>157.05159999999998</v>
      </c>
      <c r="L63" s="44">
        <f>SUM(Historical!L88:L90)</f>
        <v>244.61249999999998</v>
      </c>
      <c r="M63" s="49">
        <f t="shared" ref="M63:V63" si="52">L63</f>
        <v>244.61249999999998</v>
      </c>
      <c r="N63" s="49">
        <f t="shared" si="52"/>
        <v>244.61249999999998</v>
      </c>
      <c r="O63" s="49">
        <f t="shared" si="52"/>
        <v>244.61249999999998</v>
      </c>
      <c r="P63" s="49">
        <f t="shared" si="52"/>
        <v>244.61249999999998</v>
      </c>
      <c r="Q63" s="49">
        <f t="shared" si="52"/>
        <v>244.61249999999998</v>
      </c>
      <c r="R63" s="49">
        <f t="shared" si="52"/>
        <v>244.61249999999998</v>
      </c>
      <c r="S63" s="49">
        <f t="shared" si="52"/>
        <v>244.61249999999998</v>
      </c>
      <c r="T63" s="49">
        <f t="shared" si="52"/>
        <v>244.61249999999998</v>
      </c>
      <c r="U63" s="49">
        <f t="shared" si="52"/>
        <v>244.61249999999998</v>
      </c>
      <c r="V63" s="49">
        <f t="shared" si="52"/>
        <v>244.61249999999998</v>
      </c>
    </row>
    <row r="64" spans="1:22" x14ac:dyDescent="0.3">
      <c r="C64" s="16" t="s">
        <v>60</v>
      </c>
      <c r="H64" s="44"/>
      <c r="I64" s="44"/>
      <c r="J64" s="44"/>
      <c r="K64" s="44"/>
      <c r="L64" s="44"/>
      <c r="M64" s="49"/>
      <c r="N64" s="49"/>
      <c r="O64" s="49"/>
      <c r="P64" s="49"/>
      <c r="Q64" s="49"/>
      <c r="R64" s="49"/>
      <c r="S64" s="49"/>
      <c r="T64" s="49"/>
      <c r="U64" s="49"/>
      <c r="V64" s="49"/>
    </row>
    <row r="65" spans="1:22" x14ac:dyDescent="0.3">
      <c r="D65" t="s">
        <v>61</v>
      </c>
      <c r="F65" t="s">
        <v>239</v>
      </c>
      <c r="H65" s="44">
        <f>Historical!H75</f>
        <v>8.0082000000000004</v>
      </c>
      <c r="I65" s="44">
        <f>Historical!I75</f>
        <v>4.8384</v>
      </c>
      <c r="J65" s="44">
        <f>Historical!J75</f>
        <v>72.102599999999995</v>
      </c>
      <c r="K65" s="44">
        <f>Historical!K75</f>
        <v>292.72900000000004</v>
      </c>
      <c r="L65" s="44">
        <f>Historical!L75</f>
        <v>493.18610000000001</v>
      </c>
      <c r="M65" s="49">
        <f>M128</f>
        <v>493.18610000000001</v>
      </c>
      <c r="N65" s="49">
        <f t="shared" ref="N65:V65" si="53">N128</f>
        <v>493.18610000000001</v>
      </c>
      <c r="O65" s="49">
        <f t="shared" si="53"/>
        <v>493.18610000000001</v>
      </c>
      <c r="P65" s="49">
        <f t="shared" ca="1" si="53"/>
        <v>493.18610000000001</v>
      </c>
      <c r="Q65" s="49">
        <f t="shared" ca="1" si="53"/>
        <v>493.18610000000001</v>
      </c>
      <c r="R65" s="49">
        <f t="shared" ca="1" si="53"/>
        <v>493.18610000000001</v>
      </c>
      <c r="S65" s="49">
        <f t="shared" ca="1" si="53"/>
        <v>493.18610000000001</v>
      </c>
      <c r="T65" s="49">
        <f t="shared" ca="1" si="53"/>
        <v>493.18610000000001</v>
      </c>
      <c r="U65" s="49">
        <f t="shared" ca="1" si="53"/>
        <v>493.18610000000001</v>
      </c>
      <c r="V65" s="49">
        <f t="shared" ca="1" si="53"/>
        <v>493.18610000000001</v>
      </c>
    </row>
    <row r="66" spans="1:22" x14ac:dyDescent="0.3">
      <c r="D66" t="s">
        <v>519</v>
      </c>
      <c r="H66" s="44">
        <f>Historical!H76</f>
        <v>155.7354</v>
      </c>
      <c r="I66" s="44">
        <f>Historical!I76</f>
        <v>166.69369999999998</v>
      </c>
      <c r="J66" s="44">
        <f>Historical!J76</f>
        <v>12.6647</v>
      </c>
      <c r="K66" s="44">
        <f>Historical!K76</f>
        <v>7.1703999999999999</v>
      </c>
      <c r="L66" s="44">
        <f>Historical!L76</f>
        <v>9.1191999999999993</v>
      </c>
      <c r="M66" s="49">
        <f>L66</f>
        <v>9.1191999999999993</v>
      </c>
      <c r="N66" s="49">
        <f t="shared" ref="N66:V67" si="54">M66</f>
        <v>9.1191999999999993</v>
      </c>
      <c r="O66" s="49">
        <f t="shared" si="54"/>
        <v>9.1191999999999993</v>
      </c>
      <c r="P66" s="49">
        <f t="shared" si="54"/>
        <v>9.1191999999999993</v>
      </c>
      <c r="Q66" s="49">
        <f t="shared" si="54"/>
        <v>9.1191999999999993</v>
      </c>
      <c r="R66" s="49">
        <f t="shared" si="54"/>
        <v>9.1191999999999993</v>
      </c>
      <c r="S66" s="49">
        <f t="shared" si="54"/>
        <v>9.1191999999999993</v>
      </c>
      <c r="T66" s="49">
        <f t="shared" si="54"/>
        <v>9.1191999999999993</v>
      </c>
      <c r="U66" s="49">
        <f t="shared" si="54"/>
        <v>9.1191999999999993</v>
      </c>
      <c r="V66" s="49">
        <f t="shared" si="54"/>
        <v>9.1191999999999993</v>
      </c>
    </row>
    <row r="67" spans="1:22" x14ac:dyDescent="0.3">
      <c r="D67" t="s">
        <v>520</v>
      </c>
      <c r="H67" s="44">
        <f>Historical!H77</f>
        <v>4.7932999999999995</v>
      </c>
      <c r="I67" s="44">
        <f>Historical!I77</f>
        <v>7.7252999999999998</v>
      </c>
      <c r="J67" s="44">
        <f>Historical!J77</f>
        <v>13.178800000000001</v>
      </c>
      <c r="K67" s="44">
        <f>Historical!K77</f>
        <v>18.5642</v>
      </c>
      <c r="L67" s="44">
        <f>Historical!L77</f>
        <v>24.478000000000002</v>
      </c>
      <c r="M67" s="49">
        <f>L67</f>
        <v>24.478000000000002</v>
      </c>
      <c r="N67" s="49">
        <f t="shared" si="54"/>
        <v>24.478000000000002</v>
      </c>
      <c r="O67" s="49">
        <f t="shared" si="54"/>
        <v>24.478000000000002</v>
      </c>
      <c r="P67" s="49">
        <f t="shared" si="54"/>
        <v>24.478000000000002</v>
      </c>
      <c r="Q67" s="49">
        <f t="shared" si="54"/>
        <v>24.478000000000002</v>
      </c>
      <c r="R67" s="49">
        <f t="shared" si="54"/>
        <v>24.478000000000002</v>
      </c>
      <c r="S67" s="49">
        <f t="shared" si="54"/>
        <v>24.478000000000002</v>
      </c>
      <c r="T67" s="49">
        <f t="shared" si="54"/>
        <v>24.478000000000002</v>
      </c>
      <c r="U67" s="49">
        <f t="shared" si="54"/>
        <v>24.478000000000002</v>
      </c>
      <c r="V67" s="49">
        <f t="shared" si="54"/>
        <v>24.478000000000002</v>
      </c>
    </row>
    <row r="68" spans="1:22" x14ac:dyDescent="0.3">
      <c r="D68" t="s">
        <v>62</v>
      </c>
      <c r="E68" s="46"/>
      <c r="F68" t="s">
        <v>239</v>
      </c>
      <c r="H68" s="44">
        <f>Historical!H78</f>
        <v>8.7713000000000001</v>
      </c>
      <c r="I68" s="44">
        <f>Historical!I78</f>
        <v>7.2717999999999998</v>
      </c>
      <c r="J68" s="44">
        <f>Historical!J78</f>
        <v>14.317399999999999</v>
      </c>
      <c r="K68" s="44">
        <f>Historical!K78</f>
        <v>13.282</v>
      </c>
      <c r="L68" s="44">
        <f>Historical!L78</f>
        <v>12.4224</v>
      </c>
      <c r="M68" s="49">
        <f t="shared" ref="M68:V68" si="55">L68</f>
        <v>12.4224</v>
      </c>
      <c r="N68" s="49">
        <f t="shared" si="55"/>
        <v>12.4224</v>
      </c>
      <c r="O68" s="49">
        <f t="shared" si="55"/>
        <v>12.4224</v>
      </c>
      <c r="P68" s="49">
        <f t="shared" si="55"/>
        <v>12.4224</v>
      </c>
      <c r="Q68" s="49">
        <f t="shared" si="55"/>
        <v>12.4224</v>
      </c>
      <c r="R68" s="49">
        <f t="shared" si="55"/>
        <v>12.4224</v>
      </c>
      <c r="S68" s="49">
        <f t="shared" si="55"/>
        <v>12.4224</v>
      </c>
      <c r="T68" s="49">
        <f t="shared" si="55"/>
        <v>12.4224</v>
      </c>
      <c r="U68" s="49">
        <f t="shared" si="55"/>
        <v>12.4224</v>
      </c>
      <c r="V68" s="49">
        <f t="shared" si="55"/>
        <v>12.4224</v>
      </c>
    </row>
    <row r="69" spans="1:22" x14ac:dyDescent="0.3">
      <c r="D69" s="25" t="s">
        <v>63</v>
      </c>
      <c r="E69" s="25"/>
      <c r="F69" s="25" t="s">
        <v>239</v>
      </c>
      <c r="G69" s="25"/>
      <c r="H69" s="45">
        <f t="shared" ref="H69:V69" si="56">SUM(H61:H68)</f>
        <v>576.66060000000004</v>
      </c>
      <c r="I69" s="45">
        <f t="shared" si="56"/>
        <v>715.0243999999999</v>
      </c>
      <c r="J69" s="45">
        <f t="shared" si="56"/>
        <v>892.25659999999993</v>
      </c>
      <c r="K69" s="45">
        <f t="shared" si="56"/>
        <v>1227.9069999999999</v>
      </c>
      <c r="L69" s="45">
        <f t="shared" si="56"/>
        <v>1458.7757999999999</v>
      </c>
      <c r="M69" s="45">
        <f t="shared" si="56"/>
        <v>1504.672227023485</v>
      </c>
      <c r="N69" s="45">
        <f t="shared" si="56"/>
        <v>1540.1353981852326</v>
      </c>
      <c r="O69" s="45">
        <f t="shared" si="56"/>
        <v>1575.7865241541376</v>
      </c>
      <c r="P69" s="45">
        <f t="shared" ca="1" si="56"/>
        <v>1611.251194734225</v>
      </c>
      <c r="Q69" s="45">
        <f t="shared" ca="1" si="56"/>
        <v>1646.1942864040916</v>
      </c>
      <c r="R69" s="45">
        <f t="shared" ca="1" si="56"/>
        <v>1680.325429912989</v>
      </c>
      <c r="S69" s="45">
        <f t="shared" ca="1" si="56"/>
        <v>1713.4014886458735</v>
      </c>
      <c r="T69" s="45">
        <f t="shared" ca="1" si="56"/>
        <v>1745.2265644317699</v>
      </c>
      <c r="U69" s="45">
        <f t="shared" ca="1" si="56"/>
        <v>1775.6500873446839</v>
      </c>
      <c r="V69" s="45">
        <f t="shared" ca="1" si="56"/>
        <v>1804.5635284624295</v>
      </c>
    </row>
    <row r="70" spans="1:22" x14ac:dyDescent="0.3">
      <c r="C70" s="16" t="s">
        <v>64</v>
      </c>
      <c r="H70" s="46"/>
      <c r="I70" s="46"/>
      <c r="J70" s="46"/>
      <c r="K70" s="46"/>
      <c r="L70" s="46"/>
    </row>
    <row r="71" spans="1:22" x14ac:dyDescent="0.3">
      <c r="D71" t="s">
        <v>65</v>
      </c>
      <c r="F71" t="s">
        <v>239</v>
      </c>
      <c r="H71" s="44">
        <f>Historical!H68</f>
        <v>40.417999999999999</v>
      </c>
      <c r="I71" s="44">
        <f>Historical!I68</f>
        <v>40.417999999999999</v>
      </c>
      <c r="J71" s="44">
        <f>Historical!J68</f>
        <v>40.417999999999999</v>
      </c>
      <c r="K71" s="44">
        <f>Historical!K68</f>
        <v>40.417999999999999</v>
      </c>
      <c r="L71" s="44">
        <f>Historical!L68</f>
        <v>40.417999999999999</v>
      </c>
      <c r="M71" s="49">
        <f t="shared" ref="M71:V71" si="57">L71</f>
        <v>40.417999999999999</v>
      </c>
      <c r="N71" s="49">
        <f t="shared" si="57"/>
        <v>40.417999999999999</v>
      </c>
      <c r="O71" s="49">
        <f t="shared" si="57"/>
        <v>40.417999999999999</v>
      </c>
      <c r="P71" s="49">
        <f t="shared" si="57"/>
        <v>40.417999999999999</v>
      </c>
      <c r="Q71" s="49">
        <f t="shared" si="57"/>
        <v>40.417999999999999</v>
      </c>
      <c r="R71" s="49">
        <f t="shared" si="57"/>
        <v>40.417999999999999</v>
      </c>
      <c r="S71" s="49">
        <f t="shared" si="57"/>
        <v>40.417999999999999</v>
      </c>
      <c r="T71" s="49">
        <f t="shared" si="57"/>
        <v>40.417999999999999</v>
      </c>
      <c r="U71" s="49">
        <f t="shared" si="57"/>
        <v>40.417999999999999</v>
      </c>
      <c r="V71" s="49">
        <f t="shared" si="57"/>
        <v>40.417999999999999</v>
      </c>
    </row>
    <row r="72" spans="1:22" x14ac:dyDescent="0.3">
      <c r="D72" t="s">
        <v>66</v>
      </c>
      <c r="F72" t="s">
        <v>239</v>
      </c>
      <c r="H72" s="44">
        <f>Historical!H69</f>
        <v>2128.0160000000001</v>
      </c>
      <c r="I72" s="44">
        <f>Historical!I69</f>
        <v>2375.9576000000002</v>
      </c>
      <c r="J72" s="44">
        <f>Historical!J69</f>
        <v>2669.6983</v>
      </c>
      <c r="K72" s="44">
        <f>Historical!K69</f>
        <v>2838.7768000000001</v>
      </c>
      <c r="L72" s="44">
        <f>Historical!L69</f>
        <v>3150.7847999999999</v>
      </c>
      <c r="M72" s="49">
        <f>L72+M37+M102</f>
        <v>3558.1779218329029</v>
      </c>
      <c r="N72" s="49">
        <f t="shared" ref="N72:V72" si="58">M72+N37+N102</f>
        <v>4024.1635660006223</v>
      </c>
      <c r="O72" s="49">
        <f t="shared" si="58"/>
        <v>4472.6731860739401</v>
      </c>
      <c r="P72" s="49">
        <f t="shared" si="58"/>
        <v>4877.8038999852461</v>
      </c>
      <c r="Q72" s="49">
        <f t="shared" ca="1" si="58"/>
        <v>5305.9617386182654</v>
      </c>
      <c r="R72" s="49">
        <f t="shared" ca="1" si="58"/>
        <v>5772.366543177649</v>
      </c>
      <c r="S72" s="49">
        <f t="shared" ca="1" si="58"/>
        <v>6224.9680335694566</v>
      </c>
      <c r="T72" s="49">
        <f t="shared" ca="1" si="58"/>
        <v>6765.3359632791844</v>
      </c>
      <c r="U72" s="49">
        <f t="shared" ca="1" si="58"/>
        <v>7413.5384694492559</v>
      </c>
      <c r="V72" s="49">
        <f t="shared" ca="1" si="58"/>
        <v>8120.776523695723</v>
      </c>
    </row>
    <row r="73" spans="1:22" x14ac:dyDescent="0.3">
      <c r="D73" s="31" t="s">
        <v>67</v>
      </c>
      <c r="E73" s="25"/>
      <c r="F73" s="25" t="s">
        <v>239</v>
      </c>
      <c r="G73" s="25"/>
      <c r="H73" s="45">
        <f t="shared" ref="H73:M73" si="59">SUM(H71:H72)</f>
        <v>2168.4340000000002</v>
      </c>
      <c r="I73" s="45">
        <f t="shared" ref="I73:L73" si="60">SUM(I71:I72)</f>
        <v>2416.3756000000003</v>
      </c>
      <c r="J73" s="45">
        <f t="shared" si="60"/>
        <v>2710.1163000000001</v>
      </c>
      <c r="K73" s="45">
        <f t="shared" si="60"/>
        <v>2879.1948000000002</v>
      </c>
      <c r="L73" s="45">
        <f t="shared" si="60"/>
        <v>3191.2028</v>
      </c>
      <c r="M73" s="45">
        <f t="shared" si="59"/>
        <v>3598.5959218329031</v>
      </c>
      <c r="N73" s="45">
        <f t="shared" ref="N73:V73" si="61">SUM(N71:N72)</f>
        <v>4064.5815660006224</v>
      </c>
      <c r="O73" s="45">
        <f t="shared" si="61"/>
        <v>4513.0911860739398</v>
      </c>
      <c r="P73" s="45">
        <f t="shared" si="61"/>
        <v>4918.2218999852457</v>
      </c>
      <c r="Q73" s="45">
        <f t="shared" ca="1" si="61"/>
        <v>5346.379738618265</v>
      </c>
      <c r="R73" s="45">
        <f t="shared" ca="1" si="61"/>
        <v>5812.7845431776486</v>
      </c>
      <c r="S73" s="45">
        <f t="shared" ca="1" si="61"/>
        <v>6265.3860335694562</v>
      </c>
      <c r="T73" s="45">
        <f t="shared" ca="1" si="61"/>
        <v>6805.7539632791841</v>
      </c>
      <c r="U73" s="45">
        <f t="shared" ca="1" si="61"/>
        <v>7453.9564694492556</v>
      </c>
      <c r="V73" s="45">
        <f t="shared" ca="1" si="61"/>
        <v>8161.1945236957226</v>
      </c>
    </row>
    <row r="74" spans="1:22" x14ac:dyDescent="0.3">
      <c r="D74" t="s">
        <v>68</v>
      </c>
      <c r="F74" t="s">
        <v>239</v>
      </c>
      <c r="H74" s="44">
        <f>Historical!H70</f>
        <v>0</v>
      </c>
      <c r="I74" s="44">
        <f>Historical!I70</f>
        <v>0</v>
      </c>
      <c r="J74" s="44" t="str">
        <f>Historical!J70</f>
        <v>-</v>
      </c>
      <c r="K74" s="44">
        <f>Historical!K70</f>
        <v>-0.25269999999999998</v>
      </c>
      <c r="L74" s="44">
        <f>Historical!L70</f>
        <v>-3.1216000000000004</v>
      </c>
      <c r="M74" s="49">
        <f t="shared" ref="M74:V74" si="62">L74</f>
        <v>-3.1216000000000004</v>
      </c>
      <c r="N74" s="49">
        <f t="shared" si="62"/>
        <v>-3.1216000000000004</v>
      </c>
      <c r="O74" s="49">
        <f t="shared" si="62"/>
        <v>-3.1216000000000004</v>
      </c>
      <c r="P74" s="49">
        <f t="shared" si="62"/>
        <v>-3.1216000000000004</v>
      </c>
      <c r="Q74" s="49">
        <f t="shared" si="62"/>
        <v>-3.1216000000000004</v>
      </c>
      <c r="R74" s="49">
        <f t="shared" si="62"/>
        <v>-3.1216000000000004</v>
      </c>
      <c r="S74" s="49">
        <f t="shared" si="62"/>
        <v>-3.1216000000000004</v>
      </c>
      <c r="T74" s="49">
        <f t="shared" si="62"/>
        <v>-3.1216000000000004</v>
      </c>
      <c r="U74" s="49">
        <f t="shared" si="62"/>
        <v>-3.1216000000000004</v>
      </c>
      <c r="V74" s="49">
        <f t="shared" si="62"/>
        <v>-3.1216000000000004</v>
      </c>
    </row>
    <row r="75" spans="1:22" ht="15" thickBot="1" x14ac:dyDescent="0.35">
      <c r="D75" s="27" t="s">
        <v>69</v>
      </c>
      <c r="E75" s="27"/>
      <c r="F75" s="27" t="s">
        <v>239</v>
      </c>
      <c r="G75" s="27"/>
      <c r="H75" s="47">
        <f t="shared" ref="H75:V75" si="63">SUM(H73:H74,H69)</f>
        <v>2745.0946000000004</v>
      </c>
      <c r="I75" s="47">
        <f t="shared" si="63"/>
        <v>3131.4</v>
      </c>
      <c r="J75" s="47">
        <f t="shared" si="63"/>
        <v>3602.3729000000003</v>
      </c>
      <c r="K75" s="47">
        <f t="shared" si="63"/>
        <v>4106.8491000000004</v>
      </c>
      <c r="L75" s="47">
        <f t="shared" si="63"/>
        <v>4646.857</v>
      </c>
      <c r="M75" s="47">
        <f t="shared" si="63"/>
        <v>5100.1465488563881</v>
      </c>
      <c r="N75" s="47">
        <f t="shared" si="63"/>
        <v>5601.595364185855</v>
      </c>
      <c r="O75" s="47">
        <f t="shared" si="63"/>
        <v>6085.756110228077</v>
      </c>
      <c r="P75" s="47">
        <f t="shared" ca="1" si="63"/>
        <v>6526.3514947194708</v>
      </c>
      <c r="Q75" s="47">
        <f t="shared" ca="1" si="63"/>
        <v>6989.4524250223567</v>
      </c>
      <c r="R75" s="47">
        <f t="shared" ca="1" si="63"/>
        <v>7489.9883730906367</v>
      </c>
      <c r="S75" s="47">
        <f t="shared" ca="1" si="63"/>
        <v>7975.6659222153294</v>
      </c>
      <c r="T75" s="47">
        <f t="shared" ca="1" si="63"/>
        <v>8547.8589277109531</v>
      </c>
      <c r="U75" s="47">
        <f t="shared" ca="1" si="63"/>
        <v>9226.4849567939382</v>
      </c>
      <c r="V75" s="47">
        <f t="shared" ca="1" si="63"/>
        <v>9962.6364521581527</v>
      </c>
    </row>
    <row r="76" spans="1:22" ht="15" thickTop="1" x14ac:dyDescent="0.3">
      <c r="D76" t="s">
        <v>71</v>
      </c>
      <c r="H76" s="46">
        <f t="shared" ref="H76:V76" si="64">H75-H57</f>
        <v>0</v>
      </c>
      <c r="I76" s="46">
        <f t="shared" si="64"/>
        <v>0</v>
      </c>
      <c r="J76" s="46">
        <f t="shared" si="64"/>
        <v>0</v>
      </c>
      <c r="K76" s="46">
        <f t="shared" si="64"/>
        <v>0</v>
      </c>
      <c r="L76" s="46">
        <f t="shared" si="64"/>
        <v>0</v>
      </c>
      <c r="M76" s="253">
        <f>M75-M57</f>
        <v>0</v>
      </c>
      <c r="N76" s="29">
        <f t="shared" si="64"/>
        <v>0</v>
      </c>
      <c r="O76" s="29">
        <f t="shared" si="64"/>
        <v>0</v>
      </c>
      <c r="P76" s="29">
        <f t="shared" ca="1" si="64"/>
        <v>0</v>
      </c>
      <c r="Q76" s="29">
        <f t="shared" ca="1" si="64"/>
        <v>0</v>
      </c>
      <c r="R76" s="29">
        <f t="shared" ca="1" si="64"/>
        <v>0</v>
      </c>
      <c r="S76" s="29">
        <f t="shared" ca="1" si="64"/>
        <v>0</v>
      </c>
      <c r="T76" s="29">
        <f t="shared" ca="1" si="64"/>
        <v>0</v>
      </c>
      <c r="U76" s="29">
        <f t="shared" ca="1" si="64"/>
        <v>0</v>
      </c>
      <c r="V76" s="29">
        <f t="shared" ca="1" si="64"/>
        <v>0</v>
      </c>
    </row>
    <row r="77" spans="1:22" ht="19.8" x14ac:dyDescent="0.4">
      <c r="A77" s="12" t="s">
        <v>25</v>
      </c>
      <c r="B77" s="13"/>
      <c r="C77" s="13"/>
      <c r="D77" s="6"/>
      <c r="E77" s="6"/>
      <c r="F77" s="6"/>
      <c r="G77" s="6"/>
      <c r="H77" s="48"/>
      <c r="I77" s="48"/>
      <c r="J77" s="48"/>
      <c r="K77" s="48"/>
      <c r="L77" s="48"/>
      <c r="M77" s="14"/>
      <c r="N77" s="15"/>
      <c r="O77" s="15"/>
      <c r="P77" s="15"/>
      <c r="Q77" s="15"/>
      <c r="R77" s="15"/>
      <c r="S77" s="15"/>
      <c r="T77" s="15"/>
      <c r="U77" s="15"/>
      <c r="V77" s="15"/>
    </row>
    <row r="78" spans="1:22" x14ac:dyDescent="0.3">
      <c r="H78" s="46"/>
      <c r="I78" s="46"/>
      <c r="J78" s="46"/>
      <c r="K78" s="46"/>
      <c r="L78" s="46"/>
    </row>
    <row r="79" spans="1:22" x14ac:dyDescent="0.3">
      <c r="B79" s="16" t="s">
        <v>72</v>
      </c>
      <c r="H79" s="46"/>
      <c r="I79" s="46"/>
      <c r="J79" s="46"/>
      <c r="K79" s="46"/>
      <c r="L79" s="46"/>
    </row>
    <row r="80" spans="1:22" x14ac:dyDescent="0.3">
      <c r="D80" t="s">
        <v>523</v>
      </c>
      <c r="F80" t="s">
        <v>239</v>
      </c>
      <c r="H80" s="44">
        <f>Historical!H103</f>
        <v>243.65349999999998</v>
      </c>
      <c r="I80" s="44">
        <f>Historical!I103</f>
        <v>379.66750000000002</v>
      </c>
      <c r="J80" s="44">
        <f>Historical!J103</f>
        <v>423.57900000000001</v>
      </c>
      <c r="K80" s="44">
        <f>Historical!K103</f>
        <v>225.67410000000001</v>
      </c>
      <c r="L80" s="44">
        <f>Historical!L103</f>
        <v>543.62099999999998</v>
      </c>
      <c r="M80" s="46">
        <f t="shared" ref="M80:V80" si="65">M35</f>
        <v>569.57175769760693</v>
      </c>
      <c r="N80" s="46">
        <f t="shared" si="65"/>
        <v>655.89486076409185</v>
      </c>
      <c r="O80" s="46">
        <f t="shared" si="65"/>
        <v>631.29660428651346</v>
      </c>
      <c r="P80" s="46">
        <f t="shared" si="65"/>
        <v>574.12129583805404</v>
      </c>
      <c r="Q80" s="46">
        <f t="shared" ca="1" si="65"/>
        <v>606.75363456404034</v>
      </c>
      <c r="R80" s="46">
        <f t="shared" ca="1" si="65"/>
        <v>665.4852445745571</v>
      </c>
      <c r="S80" s="46">
        <f t="shared" ca="1" si="65"/>
        <v>645.79011747691288</v>
      </c>
      <c r="T80" s="46">
        <f t="shared" ca="1" si="65"/>
        <v>776.34063315816411</v>
      </c>
      <c r="U80" s="46">
        <f t="shared" ca="1" si="65"/>
        <v>931.26537750880721</v>
      </c>
      <c r="V80" s="46">
        <f t="shared" ca="1" si="65"/>
        <v>1023.1431460105935</v>
      </c>
    </row>
    <row r="81" spans="1:22" x14ac:dyDescent="0.3">
      <c r="D81" t="s">
        <v>73</v>
      </c>
      <c r="F81" t="s">
        <v>239</v>
      </c>
      <c r="H81" s="44">
        <f>Historical!H105+Historical!H106</f>
        <v>121.62949999999999</v>
      </c>
      <c r="I81" s="44">
        <f>Historical!I105+Historical!I106</f>
        <v>131.1122</v>
      </c>
      <c r="J81" s="44">
        <f>Historical!J105+Historical!J106</f>
        <v>146.59769999999997</v>
      </c>
      <c r="K81" s="44">
        <f>Historical!K105+Historical!K106</f>
        <v>331.91049999999996</v>
      </c>
      <c r="L81" s="44">
        <f>Historical!L105+Historical!L106</f>
        <v>365.2867</v>
      </c>
      <c r="M81" s="46">
        <f t="shared" ref="M81:V81" si="66">M11*L51</f>
        <v>394.00280673921958</v>
      </c>
      <c r="N81" s="46">
        <f t="shared" si="66"/>
        <v>423.76073404824388</v>
      </c>
      <c r="O81" s="46">
        <f t="shared" si="66"/>
        <v>565.05525036232211</v>
      </c>
      <c r="P81" s="46">
        <f t="shared" si="66"/>
        <v>738.31649720833627</v>
      </c>
      <c r="Q81" s="46">
        <f t="shared" si="66"/>
        <v>820.06282098389147</v>
      </c>
      <c r="R81" s="46">
        <f t="shared" si="66"/>
        <v>873.0521365594326</v>
      </c>
      <c r="S81" s="46">
        <f t="shared" si="66"/>
        <v>1001.0145971383972</v>
      </c>
      <c r="T81" s="46">
        <f t="shared" si="66"/>
        <v>974.63659248713407</v>
      </c>
      <c r="U81" s="46">
        <f t="shared" si="66"/>
        <v>919.29667858711082</v>
      </c>
      <c r="V81" s="46">
        <f t="shared" si="66"/>
        <v>922.06081397320395</v>
      </c>
    </row>
    <row r="82" spans="1:22" x14ac:dyDescent="0.3">
      <c r="A82"/>
      <c r="D82" t="s">
        <v>522</v>
      </c>
      <c r="F82" t="s">
        <v>239</v>
      </c>
      <c r="H82" s="44">
        <f>SUM(Historical!H109:H110)</f>
        <v>-19.783500000000004</v>
      </c>
      <c r="I82" s="44">
        <f>SUM(Historical!I109:I110)</f>
        <v>-33.652900000000002</v>
      </c>
      <c r="J82" s="44">
        <f>SUM(Historical!J109:J110)</f>
        <v>-6.9207000000000036</v>
      </c>
      <c r="K82" s="44">
        <f>SUM(Historical!K109:K110)</f>
        <v>28.419700000000002</v>
      </c>
      <c r="L82" s="44">
        <f>SUM(Historical!L109:L110)</f>
        <v>34.637699999999995</v>
      </c>
      <c r="M82" s="46">
        <f>-M129</f>
        <v>28.570994328209792</v>
      </c>
      <c r="N82" s="46">
        <f t="shared" ref="N82:V82" si="67">-N129</f>
        <v>28.570994328209792</v>
      </c>
      <c r="O82" s="46">
        <f t="shared" si="67"/>
        <v>28.570994328209792</v>
      </c>
      <c r="P82" s="46">
        <f t="shared" ca="1" si="67"/>
        <v>28.570994328209792</v>
      </c>
      <c r="Q82" s="46">
        <f t="shared" ca="1" si="67"/>
        <v>28.570994328209792</v>
      </c>
      <c r="R82" s="46">
        <f t="shared" ca="1" si="67"/>
        <v>28.570994328209792</v>
      </c>
      <c r="S82" s="46">
        <f t="shared" ca="1" si="67"/>
        <v>28.570994328209792</v>
      </c>
      <c r="T82" s="46">
        <f t="shared" ca="1" si="67"/>
        <v>28.570994328209792</v>
      </c>
      <c r="U82" s="46">
        <f t="shared" ca="1" si="67"/>
        <v>28.570994328209792</v>
      </c>
      <c r="V82" s="46">
        <f t="shared" ca="1" si="67"/>
        <v>28.570994328209792</v>
      </c>
    </row>
    <row r="83" spans="1:22" x14ac:dyDescent="0.3">
      <c r="A83"/>
      <c r="D83" t="s">
        <v>521</v>
      </c>
      <c r="F83" t="s">
        <v>239</v>
      </c>
      <c r="H83" s="44">
        <f>SUM(Historical!H111,Historical!H112,Historical!H108,Historical!H107)</f>
        <v>9.6299999999999997E-2</v>
      </c>
      <c r="I83" s="44">
        <f>SUM(Historical!I111,Historical!I112,Historical!I108,Historical!I107)</f>
        <v>7.4642999999999997</v>
      </c>
      <c r="J83" s="44">
        <f>SUM(Historical!J111,Historical!J112,Historical!J108,Historical!J107)</f>
        <v>-1.3507000000000002</v>
      </c>
      <c r="K83" s="44">
        <f>SUM(Historical!K111,Historical!K112,Historical!K108,Historical!K107)</f>
        <v>1.9859999999999998</v>
      </c>
      <c r="L83" s="44">
        <f>SUM(Historical!L111,Historical!L112,Historical!L108,Historical!L107)</f>
        <v>5.5943000000000023</v>
      </c>
      <c r="M83" s="46">
        <v>0</v>
      </c>
      <c r="N83" s="46">
        <v>0</v>
      </c>
      <c r="O83" s="46">
        <v>0</v>
      </c>
      <c r="P83" s="46">
        <v>0</v>
      </c>
      <c r="Q83" s="46">
        <v>0</v>
      </c>
      <c r="R83" s="46">
        <v>0</v>
      </c>
      <c r="S83" s="46">
        <v>0</v>
      </c>
      <c r="T83" s="46">
        <v>0</v>
      </c>
      <c r="U83" s="46">
        <v>0</v>
      </c>
      <c r="V83" s="46">
        <v>0</v>
      </c>
    </row>
    <row r="84" spans="1:22" x14ac:dyDescent="0.3">
      <c r="A84"/>
      <c r="D84" t="s">
        <v>74</v>
      </c>
      <c r="E84" s="46"/>
      <c r="F84" t="s">
        <v>239</v>
      </c>
      <c r="H84" s="44">
        <f>SUM(Historical!H115:H119)</f>
        <v>106.4778</v>
      </c>
      <c r="I84" s="44">
        <f>SUM(Historical!I115:I119)</f>
        <v>-41.652000000000001</v>
      </c>
      <c r="J84" s="44">
        <f>SUM(Historical!J115:J119)</f>
        <v>4.0785999999999802</v>
      </c>
      <c r="K84" s="44">
        <f>SUM(Historical!K115:K119)</f>
        <v>-222.57470000000001</v>
      </c>
      <c r="L84" s="44">
        <f>SUM(Historical!L115:L119)</f>
        <v>-75.245799999999974</v>
      </c>
      <c r="M84" s="46">
        <f>M117</f>
        <v>69.653182658841757</v>
      </c>
      <c r="N84" s="46">
        <f t="shared" ref="N84:V84" si="68">N117</f>
        <v>-44.505994728915397</v>
      </c>
      <c r="O84" s="46">
        <f t="shared" si="68"/>
        <v>-44.741876500978748</v>
      </c>
      <c r="P84" s="46">
        <f t="shared" si="68"/>
        <v>-44.507876486878615</v>
      </c>
      <c r="Q84" s="46">
        <f t="shared" si="68"/>
        <v>-43.853299147386224</v>
      </c>
      <c r="R84" s="46">
        <f t="shared" si="68"/>
        <v>-42.834310732407801</v>
      </c>
      <c r="S84" s="46">
        <f t="shared" si="68"/>
        <v>-41.51018782005923</v>
      </c>
      <c r="T84" s="46">
        <f t="shared" si="68"/>
        <v>-39.940214277911082</v>
      </c>
      <c r="U84" s="46">
        <f t="shared" si="68"/>
        <v>-38.181276689031961</v>
      </c>
      <c r="V84" s="46">
        <f t="shared" si="68"/>
        <v>-36.286136175244849</v>
      </c>
    </row>
    <row r="85" spans="1:22" x14ac:dyDescent="0.3">
      <c r="A85"/>
      <c r="C85" s="229" t="s">
        <v>492</v>
      </c>
      <c r="D85" s="167"/>
      <c r="E85" s="26"/>
      <c r="F85" s="26" t="s">
        <v>239</v>
      </c>
      <c r="G85" s="26"/>
      <c r="H85" s="45">
        <f t="shared" ref="H85" si="69">SUM(H80:H84)</f>
        <v>452.07359999999994</v>
      </c>
      <c r="I85" s="45">
        <f t="shared" ref="I85:L85" si="70">SUM(I80:I84)</f>
        <v>442.93910000000005</v>
      </c>
      <c r="J85" s="45">
        <f t="shared" si="70"/>
        <v>565.98389999999995</v>
      </c>
      <c r="K85" s="45">
        <f t="shared" si="70"/>
        <v>365.41559999999993</v>
      </c>
      <c r="L85" s="45">
        <f t="shared" si="70"/>
        <v>873.89390000000003</v>
      </c>
      <c r="M85" s="45">
        <f>SUM(M80:M84)</f>
        <v>1061.798741423878</v>
      </c>
      <c r="N85" s="45">
        <f t="shared" ref="N85:V85" si="71">SUM(N80:N84)</f>
        <v>1063.7205944116301</v>
      </c>
      <c r="O85" s="45">
        <f t="shared" si="71"/>
        <v>1180.1809724760665</v>
      </c>
      <c r="P85" s="45">
        <f t="shared" ca="1" si="71"/>
        <v>1296.5009108877214</v>
      </c>
      <c r="Q85" s="45">
        <f t="shared" ca="1" si="71"/>
        <v>1411.5341507287553</v>
      </c>
      <c r="R85" s="45">
        <f t="shared" ca="1" si="71"/>
        <v>1524.2740647297915</v>
      </c>
      <c r="S85" s="45">
        <f t="shared" ca="1" si="71"/>
        <v>1633.8655211234607</v>
      </c>
      <c r="T85" s="45">
        <f t="shared" ca="1" si="71"/>
        <v>1739.6080056955968</v>
      </c>
      <c r="U85" s="45">
        <f t="shared" ca="1" si="71"/>
        <v>1840.9517737350957</v>
      </c>
      <c r="V85" s="45">
        <f t="shared" ca="1" si="71"/>
        <v>1937.4888181367623</v>
      </c>
    </row>
    <row r="86" spans="1:22" s="44" customFormat="1" x14ac:dyDescent="0.3">
      <c r="A86" s="222"/>
      <c r="B86" s="222"/>
      <c r="C86" s="222"/>
      <c r="D86" s="113" t="s">
        <v>545</v>
      </c>
      <c r="E86" s="222"/>
      <c r="F86" s="222"/>
      <c r="G86" s="222"/>
      <c r="H86" s="44">
        <f>Historical!H121</f>
        <v>-35</v>
      </c>
      <c r="I86" s="44">
        <f>Historical!I121</f>
        <v>-67.7102</v>
      </c>
      <c r="J86" s="44">
        <f>Historical!J121</f>
        <v>-76.237299999999991</v>
      </c>
      <c r="K86" s="44">
        <f>Historical!K121</f>
        <v>-68.944199999999995</v>
      </c>
      <c r="L86" s="44">
        <f>Historical!L121</f>
        <v>-109.0368</v>
      </c>
      <c r="M86" s="246">
        <f>M36</f>
        <v>-145.58516576513503</v>
      </c>
      <c r="N86" s="246">
        <f t="shared" ref="N86:V86" si="72">N36</f>
        <v>-170.92922297611435</v>
      </c>
      <c r="O86" s="246">
        <f t="shared" si="72"/>
        <v>-164.51880399313666</v>
      </c>
      <c r="P86" s="246">
        <f t="shared" si="72"/>
        <v>-152.48926163577445</v>
      </c>
      <c r="Q86" s="246">
        <f t="shared" ca="1" si="72"/>
        <v>-161.15656116611231</v>
      </c>
      <c r="R86" s="246">
        <f t="shared" ca="1" si="72"/>
        <v>-180.08337363385664</v>
      </c>
      <c r="S86" s="246">
        <f t="shared" ca="1" si="72"/>
        <v>-174.7537814891671</v>
      </c>
      <c r="T86" s="246">
        <f t="shared" ca="1" si="72"/>
        <v>-213.96305575467372</v>
      </c>
      <c r="U86" s="246">
        <f t="shared" ca="1" si="72"/>
        <v>-256.66102916671582</v>
      </c>
      <c r="V86" s="246">
        <f t="shared" ca="1" si="72"/>
        <v>-287.09868125425646</v>
      </c>
    </row>
    <row r="87" spans="1:22" s="113" customFormat="1" x14ac:dyDescent="0.3">
      <c r="D87" s="229" t="s">
        <v>494</v>
      </c>
      <c r="E87" s="229"/>
      <c r="F87" s="229"/>
      <c r="G87" s="229"/>
      <c r="H87" s="254">
        <f>SUM(H85:H86)</f>
        <v>417.07359999999994</v>
      </c>
      <c r="I87" s="254">
        <f t="shared" ref="I87:M87" si="73">SUM(I85:I86)</f>
        <v>375.22890000000007</v>
      </c>
      <c r="J87" s="254">
        <f t="shared" si="73"/>
        <v>489.74659999999994</v>
      </c>
      <c r="K87" s="254">
        <f t="shared" si="73"/>
        <v>296.4713999999999</v>
      </c>
      <c r="L87" s="254">
        <f t="shared" si="73"/>
        <v>764.85710000000006</v>
      </c>
      <c r="M87" s="254">
        <f t="shared" si="73"/>
        <v>916.21357565874303</v>
      </c>
      <c r="N87" s="254">
        <f t="shared" ref="N87:V87" si="74">SUM(N85:N86)</f>
        <v>892.79137143551577</v>
      </c>
      <c r="O87" s="254">
        <f t="shared" si="74"/>
        <v>1015.6621684829298</v>
      </c>
      <c r="P87" s="254">
        <f t="shared" ca="1" si="74"/>
        <v>1144.0116492519469</v>
      </c>
      <c r="Q87" s="254">
        <f t="shared" ca="1" si="74"/>
        <v>1250.3775895626429</v>
      </c>
      <c r="R87" s="254">
        <f t="shared" ca="1" si="74"/>
        <v>1344.1906910959349</v>
      </c>
      <c r="S87" s="254">
        <f t="shared" ca="1" si="74"/>
        <v>1459.1117396342936</v>
      </c>
      <c r="T87" s="254">
        <f t="shared" ca="1" si="74"/>
        <v>1525.6449499409232</v>
      </c>
      <c r="U87" s="254">
        <f t="shared" ca="1" si="74"/>
        <v>1584.29074456838</v>
      </c>
      <c r="V87" s="254">
        <f t="shared" ca="1" si="74"/>
        <v>1650.3901368825059</v>
      </c>
    </row>
    <row r="88" spans="1:22" s="222" customFormat="1" x14ac:dyDescent="0.3"/>
    <row r="89" spans="1:22" x14ac:dyDescent="0.3">
      <c r="A89"/>
      <c r="H89" s="46"/>
      <c r="I89" s="46"/>
      <c r="J89" s="46"/>
      <c r="K89" s="46"/>
      <c r="L89" s="46"/>
    </row>
    <row r="90" spans="1:22" x14ac:dyDescent="0.3">
      <c r="A90"/>
      <c r="C90" s="16" t="s">
        <v>75</v>
      </c>
      <c r="H90" s="46"/>
      <c r="I90" s="46"/>
      <c r="J90" s="46"/>
      <c r="K90" s="46"/>
      <c r="L90" s="46"/>
    </row>
    <row r="91" spans="1:22" x14ac:dyDescent="0.3">
      <c r="A91"/>
      <c r="D91" t="s">
        <v>76</v>
      </c>
      <c r="F91" t="s">
        <v>239</v>
      </c>
      <c r="H91" s="44">
        <f>Historical!H124</f>
        <v>-199.4384</v>
      </c>
      <c r="I91" s="44">
        <f>Historical!I124</f>
        <v>-571.85809999999992</v>
      </c>
      <c r="J91" s="44">
        <f>Historical!J124</f>
        <v>-1036.4550999999999</v>
      </c>
      <c r="K91" s="44">
        <f>Historical!K124</f>
        <v>-581.1857</v>
      </c>
      <c r="L91" s="44">
        <f>Historical!L124</f>
        <v>-493.19949999999994</v>
      </c>
      <c r="M91" s="46">
        <f>-M121</f>
        <v>-589.56521739130437</v>
      </c>
      <c r="N91" s="46">
        <f t="shared" ref="N91:V91" si="75">-N121</f>
        <v>-1352.3165415598066</v>
      </c>
      <c r="O91" s="46">
        <f t="shared" si="75"/>
        <v>-1140.040965015686</v>
      </c>
      <c r="P91" s="46">
        <f t="shared" si="75"/>
        <v>-1213.1278904667249</v>
      </c>
      <c r="Q91" s="46">
        <f t="shared" si="75"/>
        <v>-1127.8433986807051</v>
      </c>
      <c r="R91" s="46">
        <f t="shared" si="75"/>
        <v>-1011.1754277451022</v>
      </c>
      <c r="S91" s="46">
        <f t="shared" si="75"/>
        <v>-863.74775272616057</v>
      </c>
      <c r="T91" s="46">
        <f t="shared" si="75"/>
        <v>-686.65668454753688</v>
      </c>
      <c r="U91" s="46">
        <f t="shared" si="75"/>
        <v>-481.36919829239537</v>
      </c>
      <c r="V91" s="46">
        <f t="shared" si="75"/>
        <v>-249.62535703098632</v>
      </c>
    </row>
    <row r="92" spans="1:22" x14ac:dyDescent="0.3">
      <c r="A92"/>
      <c r="D92" t="s">
        <v>77</v>
      </c>
      <c r="F92" t="s">
        <v>239</v>
      </c>
      <c r="H92" s="44">
        <f>Historical!H125</f>
        <v>2.0823</v>
      </c>
      <c r="I92" s="44">
        <f>Historical!I125</f>
        <v>2.4140000000000001</v>
      </c>
      <c r="J92" s="44">
        <f>Historical!J125</f>
        <v>0.37959999999999999</v>
      </c>
      <c r="K92" s="44">
        <f>Historical!K125</f>
        <v>5.5180999999999996</v>
      </c>
      <c r="L92" s="44">
        <f>Historical!L125</f>
        <v>6.4844000000000008</v>
      </c>
      <c r="M92" s="46">
        <v>0</v>
      </c>
      <c r="N92" s="46">
        <v>0</v>
      </c>
      <c r="O92" s="46">
        <v>0</v>
      </c>
      <c r="P92" s="46">
        <v>0</v>
      </c>
      <c r="Q92" s="46">
        <v>0</v>
      </c>
      <c r="R92" s="46">
        <v>0</v>
      </c>
      <c r="S92" s="46">
        <v>0</v>
      </c>
      <c r="T92" s="46">
        <v>0</v>
      </c>
      <c r="U92" s="46">
        <v>0</v>
      </c>
      <c r="V92" s="46">
        <v>0</v>
      </c>
    </row>
    <row r="93" spans="1:22" x14ac:dyDescent="0.3">
      <c r="A93"/>
      <c r="D93" t="s">
        <v>78</v>
      </c>
      <c r="F93" t="s">
        <v>239</v>
      </c>
      <c r="H93" s="44">
        <f>Historical!H126+Historical!H127</f>
        <v>39.642499999999998</v>
      </c>
      <c r="I93" s="44">
        <f>Historical!I126+Historical!I127</f>
        <v>186.47110000000001</v>
      </c>
      <c r="J93" s="44">
        <f>Historical!J126+Historical!J127</f>
        <v>181.28560000000002</v>
      </c>
      <c r="K93" s="44">
        <f>Historical!K126+Historical!K127</f>
        <v>39.780999999999999</v>
      </c>
      <c r="L93" s="44">
        <f>Historical!L126+Historical!L127</f>
        <v>-100.90820000000001</v>
      </c>
      <c r="M93" s="46">
        <v>0</v>
      </c>
      <c r="N93" s="46">
        <v>0</v>
      </c>
      <c r="O93" s="46">
        <v>0</v>
      </c>
      <c r="P93" s="46">
        <v>0</v>
      </c>
      <c r="Q93" s="46">
        <v>0</v>
      </c>
      <c r="R93" s="46">
        <v>0</v>
      </c>
      <c r="S93" s="46">
        <v>0</v>
      </c>
      <c r="T93" s="46">
        <v>0</v>
      </c>
      <c r="U93" s="46">
        <v>0</v>
      </c>
      <c r="V93" s="46">
        <v>0</v>
      </c>
    </row>
    <row r="94" spans="1:22" x14ac:dyDescent="0.3">
      <c r="A94"/>
      <c r="D94" t="s">
        <v>79</v>
      </c>
      <c r="F94" t="s">
        <v>239</v>
      </c>
      <c r="H94" s="44">
        <f>Historical!H128-Historical!H126</f>
        <v>-161.9</v>
      </c>
      <c r="I94" s="44">
        <f>Historical!I128-Historical!I126</f>
        <v>64.688199999999995</v>
      </c>
      <c r="J94" s="44">
        <f>Historical!J128-Historical!J126</f>
        <v>173.49770000000001</v>
      </c>
      <c r="K94" s="44">
        <f>Historical!K128-Historical!K126</f>
        <v>-4.5424999999999995</v>
      </c>
      <c r="L94" s="44">
        <f>Historical!L128-Historical!L126</f>
        <v>-254.72580000000002</v>
      </c>
      <c r="M94" s="46">
        <v>0</v>
      </c>
      <c r="N94" s="46">
        <v>0</v>
      </c>
      <c r="O94" s="46">
        <v>0</v>
      </c>
      <c r="P94" s="46">
        <v>0</v>
      </c>
      <c r="Q94" s="46">
        <v>0</v>
      </c>
      <c r="R94" s="46">
        <v>0</v>
      </c>
      <c r="S94" s="46">
        <v>0</v>
      </c>
      <c r="T94" s="46">
        <v>0</v>
      </c>
      <c r="U94" s="46">
        <v>0</v>
      </c>
      <c r="V94" s="46">
        <v>0</v>
      </c>
    </row>
    <row r="95" spans="1:22" x14ac:dyDescent="0.3">
      <c r="A95"/>
      <c r="D95" t="s">
        <v>80</v>
      </c>
      <c r="F95" t="s">
        <v>239</v>
      </c>
      <c r="H95" s="44">
        <f>Historical!H129+Historical!H126</f>
        <v>30.767399999999999</v>
      </c>
      <c r="I95" s="44">
        <f>Historical!I129+Historical!I126</f>
        <v>46.599299999999999</v>
      </c>
      <c r="J95" s="44">
        <f>Historical!J129+Historical!J126</f>
        <v>31.229900000000001</v>
      </c>
      <c r="K95" s="44">
        <f>Historical!K129+Historical!K126</f>
        <v>11.879899999999999</v>
      </c>
      <c r="L95" s="44">
        <f>Historical!L129+Historical!L126</f>
        <v>-0.97419999999999995</v>
      </c>
      <c r="M95" s="46">
        <v>0</v>
      </c>
      <c r="N95" s="46">
        <v>0</v>
      </c>
      <c r="O95" s="46">
        <v>0</v>
      </c>
      <c r="P95" s="46">
        <v>0</v>
      </c>
      <c r="Q95" s="46">
        <v>0</v>
      </c>
      <c r="R95" s="46">
        <v>0</v>
      </c>
      <c r="S95" s="46">
        <v>0</v>
      </c>
      <c r="T95" s="46">
        <v>0</v>
      </c>
      <c r="U95" s="46">
        <v>0</v>
      </c>
      <c r="V95" s="46">
        <v>0</v>
      </c>
    </row>
    <row r="96" spans="1:22" x14ac:dyDescent="0.3">
      <c r="A96"/>
      <c r="D96" s="25" t="s">
        <v>81</v>
      </c>
      <c r="E96" s="25"/>
      <c r="F96" s="25" t="s">
        <v>239</v>
      </c>
      <c r="G96" s="25"/>
      <c r="H96" s="45">
        <f t="shared" ref="H96:M96" si="76">SUM(H91:H95)</f>
        <v>-288.84620000000001</v>
      </c>
      <c r="I96" s="45">
        <f t="shared" si="76"/>
        <v>-271.68549999999993</v>
      </c>
      <c r="J96" s="45">
        <f t="shared" si="76"/>
        <v>-650.06229999999982</v>
      </c>
      <c r="K96" s="45">
        <f t="shared" si="76"/>
        <v>-528.54920000000004</v>
      </c>
      <c r="L96" s="45">
        <f>SUM(L91:L95)</f>
        <v>-843.32330000000002</v>
      </c>
      <c r="M96" s="45">
        <f t="shared" si="76"/>
        <v>-589.56521739130437</v>
      </c>
      <c r="N96" s="45">
        <f t="shared" ref="N96:V96" si="77">SUM(N91:N95)</f>
        <v>-1352.3165415598066</v>
      </c>
      <c r="O96" s="45">
        <f t="shared" si="77"/>
        <v>-1140.040965015686</v>
      </c>
      <c r="P96" s="45">
        <f t="shared" si="77"/>
        <v>-1213.1278904667249</v>
      </c>
      <c r="Q96" s="45">
        <f t="shared" si="77"/>
        <v>-1127.8433986807051</v>
      </c>
      <c r="R96" s="45">
        <f t="shared" si="77"/>
        <v>-1011.1754277451022</v>
      </c>
      <c r="S96" s="45">
        <f t="shared" si="77"/>
        <v>-863.74775272616057</v>
      </c>
      <c r="T96" s="45">
        <f t="shared" si="77"/>
        <v>-686.65668454753688</v>
      </c>
      <c r="U96" s="45">
        <f t="shared" si="77"/>
        <v>-481.36919829239537</v>
      </c>
      <c r="V96" s="45">
        <f t="shared" si="77"/>
        <v>-249.62535703098632</v>
      </c>
    </row>
    <row r="97" spans="1:22" x14ac:dyDescent="0.3">
      <c r="A97"/>
      <c r="H97" s="46"/>
      <c r="I97" s="46"/>
      <c r="J97" s="46"/>
      <c r="K97" s="46"/>
      <c r="L97" s="46"/>
    </row>
    <row r="98" spans="1:22" x14ac:dyDescent="0.3">
      <c r="A98"/>
      <c r="C98" s="16" t="s">
        <v>82</v>
      </c>
      <c r="H98" s="46"/>
      <c r="I98" s="46"/>
      <c r="J98" s="46"/>
      <c r="K98" s="46"/>
      <c r="L98" s="46"/>
    </row>
    <row r="99" spans="1:22" s="222" customFormat="1" x14ac:dyDescent="0.3">
      <c r="D99" s="113" t="s">
        <v>502</v>
      </c>
      <c r="H99" s="44">
        <f>Historical!H132</f>
        <v>-152.3604</v>
      </c>
      <c r="I99" s="44">
        <f>Historical!I132</f>
        <v>0</v>
      </c>
      <c r="J99" s="44">
        <f>Historical!J132</f>
        <v>72.102599999999995</v>
      </c>
      <c r="K99" s="44">
        <f>Historical!K132</f>
        <v>241.93310000000002</v>
      </c>
      <c r="L99" s="44">
        <f>Historical!L132</f>
        <v>288.00069999999999</v>
      </c>
      <c r="M99" s="46">
        <v>0</v>
      </c>
      <c r="N99" s="46">
        <v>0</v>
      </c>
      <c r="O99" s="46">
        <v>0</v>
      </c>
      <c r="P99" s="46">
        <v>0</v>
      </c>
      <c r="Q99" s="46">
        <v>0</v>
      </c>
      <c r="R99" s="46">
        <v>0</v>
      </c>
      <c r="S99" s="46">
        <v>0</v>
      </c>
      <c r="T99" s="46">
        <v>0</v>
      </c>
      <c r="U99" s="46">
        <v>0</v>
      </c>
      <c r="V99" s="46">
        <v>0</v>
      </c>
    </row>
    <row r="100" spans="1:22" x14ac:dyDescent="0.3">
      <c r="D100" s="113" t="s">
        <v>503</v>
      </c>
      <c r="F100" t="s">
        <v>239</v>
      </c>
      <c r="H100" s="44">
        <f>Historical!H136+Historical!H133</f>
        <v>-0.66100000000000003</v>
      </c>
      <c r="I100" s="44">
        <f>Historical!I136+Historical!I133</f>
        <v>-1.0275000000000001</v>
      </c>
      <c r="J100" s="44">
        <f>Historical!J136+Historical!J133</f>
        <v>-6.5308000000000002</v>
      </c>
      <c r="K100" s="44">
        <f>Historical!K136+Historical!K133</f>
        <v>-5.8907000000000007</v>
      </c>
      <c r="L100" s="44">
        <f>Historical!L136+Historical!L133</f>
        <v>-48.125999999999998</v>
      </c>
      <c r="M100" s="46">
        <v>0</v>
      </c>
      <c r="N100" s="46">
        <v>0</v>
      </c>
      <c r="O100" s="46">
        <v>0</v>
      </c>
      <c r="P100" s="46">
        <v>0</v>
      </c>
      <c r="Q100" s="46">
        <v>0</v>
      </c>
      <c r="R100" s="46">
        <v>0</v>
      </c>
      <c r="S100" s="46">
        <v>0</v>
      </c>
      <c r="T100" s="46">
        <v>0</v>
      </c>
      <c r="U100" s="46">
        <v>0</v>
      </c>
      <c r="V100" s="46">
        <v>0</v>
      </c>
    </row>
    <row r="101" spans="1:22" x14ac:dyDescent="0.3">
      <c r="D101" t="s">
        <v>17</v>
      </c>
      <c r="F101" t="s">
        <v>239</v>
      </c>
      <c r="H101" s="44">
        <f>Historical!H134+Historical!H142+Historical!H144+Historical!H143</f>
        <v>-9.7468000000000004</v>
      </c>
      <c r="I101" s="44">
        <f>Historical!I134+Historical!I142+Historical!I144+Historical!I143</f>
        <v>20.725700000000003</v>
      </c>
      <c r="J101" s="44">
        <f>Historical!J134+Historical!J142+Historical!J144+Historical!J143</f>
        <v>31.622900000000001</v>
      </c>
      <c r="K101" s="44">
        <f>Historical!K134+Historical!K142+Historical!K144+Historical!K143</f>
        <v>16.916399999999999</v>
      </c>
      <c r="L101" s="44">
        <f>Historical!L134+Historical!L142+Historical!L144+Historical!L143</f>
        <v>-59.359700000000004</v>
      </c>
      <c r="M101" s="46">
        <v>0</v>
      </c>
      <c r="N101" s="46">
        <v>0</v>
      </c>
      <c r="O101" s="46">
        <v>0</v>
      </c>
      <c r="P101" s="46">
        <v>0</v>
      </c>
      <c r="Q101" s="46">
        <v>0</v>
      </c>
      <c r="R101" s="46">
        <v>0</v>
      </c>
      <c r="S101" s="46">
        <v>0</v>
      </c>
      <c r="T101" s="46">
        <v>0</v>
      </c>
      <c r="U101" s="46">
        <v>0</v>
      </c>
      <c r="V101" s="46">
        <v>0</v>
      </c>
    </row>
    <row r="102" spans="1:22" x14ac:dyDescent="0.3">
      <c r="D102" t="s">
        <v>83</v>
      </c>
      <c r="F102" t="s">
        <v>239</v>
      </c>
      <c r="H102" s="44">
        <f>Historical!H137</f>
        <v>0</v>
      </c>
      <c r="I102" s="44">
        <f>Historical!I137</f>
        <v>0</v>
      </c>
      <c r="J102" s="44">
        <f>Historical!J137</f>
        <v>0</v>
      </c>
      <c r="K102" s="44">
        <f>Historical!K137</f>
        <v>0</v>
      </c>
      <c r="L102" s="44">
        <f>Historical!L137</f>
        <v>-80.836100000000002</v>
      </c>
      <c r="M102" s="46">
        <f>-M37*M14</f>
        <v>-16.593470099569014</v>
      </c>
      <c r="N102" s="46">
        <f t="shared" ref="N102:V102" si="78">-N37*N14</f>
        <v>-18.979993620257936</v>
      </c>
      <c r="O102" s="46">
        <f t="shared" si="78"/>
        <v>-18.268180220058376</v>
      </c>
      <c r="P102" s="46">
        <f t="shared" si="78"/>
        <v>-16.501320290973467</v>
      </c>
      <c r="Q102" s="46">
        <f t="shared" ca="1" si="78"/>
        <v>-17.439234764908832</v>
      </c>
      <c r="R102" s="46">
        <f t="shared" ca="1" si="78"/>
        <v>-18.997066381316621</v>
      </c>
      <c r="S102" s="46">
        <f t="shared" ca="1" si="78"/>
        <v>-18.434845595938267</v>
      </c>
      <c r="T102" s="46">
        <f t="shared" ca="1" si="78"/>
        <v>-22.009647693762794</v>
      </c>
      <c r="U102" s="46">
        <f t="shared" ca="1" si="78"/>
        <v>-26.401842172019911</v>
      </c>
      <c r="V102" s="46">
        <f t="shared" ca="1" si="78"/>
        <v>-28.806410509870084</v>
      </c>
    </row>
    <row r="103" spans="1:22" x14ac:dyDescent="0.3">
      <c r="D103" t="s">
        <v>84</v>
      </c>
      <c r="F103" t="s">
        <v>239</v>
      </c>
      <c r="H103" s="44">
        <f>Historical!H135</f>
        <v>-12.866700000000002</v>
      </c>
      <c r="I103" s="44">
        <f>Historical!I135</f>
        <v>-9.6950000000000003</v>
      </c>
      <c r="J103" s="44">
        <f>Historical!J135</f>
        <v>-10.714400000000001</v>
      </c>
      <c r="K103" s="44">
        <f>Historical!K135</f>
        <v>-28.8216</v>
      </c>
      <c r="L103" s="44">
        <f>Historical!L135</f>
        <v>-47.922700000000006</v>
      </c>
      <c r="M103" s="46">
        <f t="shared" ref="M103:V103" si="79">M129</f>
        <v>-28.570994328209792</v>
      </c>
      <c r="N103" s="46">
        <f t="shared" si="79"/>
        <v>-28.570994328209792</v>
      </c>
      <c r="O103" s="46">
        <f t="shared" si="79"/>
        <v>-28.570994328209792</v>
      </c>
      <c r="P103" s="46">
        <f t="shared" ca="1" si="79"/>
        <v>-28.570994328209792</v>
      </c>
      <c r="Q103" s="46">
        <f t="shared" ca="1" si="79"/>
        <v>-28.570994328209792</v>
      </c>
      <c r="R103" s="46">
        <f t="shared" ca="1" si="79"/>
        <v>-28.570994328209792</v>
      </c>
      <c r="S103" s="46">
        <f t="shared" ca="1" si="79"/>
        <v>-28.570994328209792</v>
      </c>
      <c r="T103" s="46">
        <f t="shared" ca="1" si="79"/>
        <v>-28.570994328209792</v>
      </c>
      <c r="U103" s="46">
        <f t="shared" ca="1" si="79"/>
        <v>-28.570994328209792</v>
      </c>
      <c r="V103" s="46">
        <f t="shared" ca="1" si="79"/>
        <v>-28.570994328209792</v>
      </c>
    </row>
    <row r="104" spans="1:22" x14ac:dyDescent="0.3">
      <c r="D104" s="25" t="s">
        <v>85</v>
      </c>
      <c r="E104" s="25"/>
      <c r="F104" s="25" t="s">
        <v>239</v>
      </c>
      <c r="G104" s="25"/>
      <c r="H104" s="45">
        <f>SUM(H99:H103)</f>
        <v>-175.63490000000002</v>
      </c>
      <c r="I104" s="45">
        <f t="shared" ref="I104:L104" si="80">SUM(I99:I103)</f>
        <v>10.003200000000003</v>
      </c>
      <c r="J104" s="45">
        <f t="shared" si="80"/>
        <v>86.4803</v>
      </c>
      <c r="K104" s="45">
        <f t="shared" si="80"/>
        <v>224.13720000000004</v>
      </c>
      <c r="L104" s="45">
        <f t="shared" si="80"/>
        <v>51.756199999999978</v>
      </c>
      <c r="M104" s="45">
        <f t="shared" ref="M104" si="81">SUM(M100:M103)</f>
        <v>-45.16446442777881</v>
      </c>
      <c r="N104" s="45">
        <f t="shared" ref="N104:V104" si="82">SUM(N100:N103)</f>
        <v>-47.550987948467728</v>
      </c>
      <c r="O104" s="45">
        <f t="shared" si="82"/>
        <v>-46.839174548268169</v>
      </c>
      <c r="P104" s="45">
        <f t="shared" ca="1" si="82"/>
        <v>-45.07231461918326</v>
      </c>
      <c r="Q104" s="45">
        <f t="shared" ca="1" si="82"/>
        <v>-46.010229093118625</v>
      </c>
      <c r="R104" s="45">
        <f t="shared" ca="1" si="82"/>
        <v>-47.568060709526414</v>
      </c>
      <c r="S104" s="45">
        <f t="shared" ca="1" si="82"/>
        <v>-47.005839924148063</v>
      </c>
      <c r="T104" s="45">
        <f t="shared" ca="1" si="82"/>
        <v>-50.580642021972587</v>
      </c>
      <c r="U104" s="45">
        <f t="shared" ca="1" si="82"/>
        <v>-54.972836500229704</v>
      </c>
      <c r="V104" s="45">
        <f t="shared" ca="1" si="82"/>
        <v>-57.377404838079876</v>
      </c>
    </row>
    <row r="105" spans="1:22" x14ac:dyDescent="0.3">
      <c r="B105" s="16" t="s">
        <v>86</v>
      </c>
      <c r="F105" t="s">
        <v>239</v>
      </c>
      <c r="H105" s="42">
        <f>H104+H96+H87</f>
        <v>-47.407500000000084</v>
      </c>
      <c r="I105" s="42">
        <f t="shared" ref="I105:L105" si="83">I104+I96+I87</f>
        <v>113.54660000000013</v>
      </c>
      <c r="J105" s="42">
        <f>J104+J96+J87</f>
        <v>-73.835399999999936</v>
      </c>
      <c r="K105" s="42">
        <f t="shared" si="83"/>
        <v>-7.9406000000001313</v>
      </c>
      <c r="L105" s="42">
        <f t="shared" si="83"/>
        <v>-26.709999999999923</v>
      </c>
      <c r="M105" s="42">
        <f t="shared" ref="M105" si="84">M104+M96+M87</f>
        <v>281.4838938396598</v>
      </c>
      <c r="N105" s="42">
        <f t="shared" ref="N105" si="85">N104+N96+N87</f>
        <v>-507.07615807275863</v>
      </c>
      <c r="O105" s="42">
        <f t="shared" ref="O105" si="86">O104+O96+O87</f>
        <v>-171.2179710810243</v>
      </c>
      <c r="P105" s="42">
        <f t="shared" ref="P105" ca="1" si="87">P104+P96+P87</f>
        <v>-114.18855583396135</v>
      </c>
      <c r="Q105" s="42">
        <f t="shared" ref="Q105" ca="1" si="88">Q104+Q96+Q87</f>
        <v>76.523961788819179</v>
      </c>
      <c r="R105" s="42">
        <f t="shared" ref="R105" ca="1" si="89">R104+R96+R87</f>
        <v>285.44720264130638</v>
      </c>
      <c r="S105" s="42">
        <f t="shared" ref="S105" ca="1" si="90">S104+S96+S87</f>
        <v>548.35814698398497</v>
      </c>
      <c r="T105" s="42">
        <f t="shared" ref="T105" ca="1" si="91">T104+T96+T87</f>
        <v>788.40762337141371</v>
      </c>
      <c r="U105" s="42">
        <f t="shared" ref="U105" ca="1" si="92">U104+U96+U87</f>
        <v>1047.9487097757549</v>
      </c>
      <c r="V105" s="42">
        <f t="shared" ref="V105" ca="1" si="93">V104+V96+V87</f>
        <v>1343.3873750134396</v>
      </c>
    </row>
    <row r="106" spans="1:22" x14ac:dyDescent="0.3">
      <c r="D106" t="s">
        <v>87</v>
      </c>
      <c r="F106" t="s">
        <v>239</v>
      </c>
      <c r="H106" s="44">
        <f>Historical!H140</f>
        <v>55.483000000000004</v>
      </c>
      <c r="I106" s="44">
        <f>Historical!I140</f>
        <v>8.0754999999999999</v>
      </c>
      <c r="J106" s="44">
        <f>Historical!J140</f>
        <v>121.6223</v>
      </c>
      <c r="K106" s="44">
        <f>Historical!K140</f>
        <v>47.786899999999996</v>
      </c>
      <c r="L106" s="44">
        <f>Historical!L140</f>
        <v>39.846299999999999</v>
      </c>
      <c r="M106" s="46">
        <f>L43</f>
        <v>13.1363</v>
      </c>
      <c r="N106" s="46">
        <f t="shared" ref="N106:V106" si="94">M43</f>
        <v>294.62019383965981</v>
      </c>
      <c r="O106" s="46">
        <f t="shared" si="94"/>
        <v>-212.45596423309883</v>
      </c>
      <c r="P106" s="46">
        <f t="shared" si="94"/>
        <v>-383.67393531412313</v>
      </c>
      <c r="Q106" s="46">
        <f t="shared" ca="1" si="94"/>
        <v>-497.86249114808447</v>
      </c>
      <c r="R106" s="46">
        <f t="shared" ca="1" si="94"/>
        <v>-421.33852935926529</v>
      </c>
      <c r="S106" s="46">
        <f t="shared" ca="1" si="94"/>
        <v>-135.89132671795892</v>
      </c>
      <c r="T106" s="46">
        <f t="shared" ca="1" si="94"/>
        <v>412.46682026602605</v>
      </c>
      <c r="U106" s="46">
        <f t="shared" ca="1" si="94"/>
        <v>1200.8744436374398</v>
      </c>
      <c r="V106" s="46">
        <f t="shared" ca="1" si="94"/>
        <v>2248.8231534131946</v>
      </c>
    </row>
    <row r="107" spans="1:22" ht="15" thickBot="1" x14ac:dyDescent="0.35">
      <c r="D107" s="27" t="s">
        <v>88</v>
      </c>
      <c r="E107" s="27"/>
      <c r="F107" s="27" t="s">
        <v>239</v>
      </c>
      <c r="G107" s="27"/>
      <c r="H107" s="47">
        <f t="shared" ref="H107:V107" si="95">SUM(H105:H106)</f>
        <v>8.07549999999992</v>
      </c>
      <c r="I107" s="47">
        <f t="shared" si="95"/>
        <v>121.62210000000013</v>
      </c>
      <c r="J107" s="47">
        <f t="shared" si="95"/>
        <v>47.78690000000006</v>
      </c>
      <c r="K107" s="47">
        <f t="shared" si="95"/>
        <v>39.846299999999864</v>
      </c>
      <c r="L107" s="47">
        <f t="shared" si="95"/>
        <v>13.136300000000077</v>
      </c>
      <c r="M107" s="47">
        <f t="shared" si="95"/>
        <v>294.62019383965981</v>
      </c>
      <c r="N107" s="47">
        <f t="shared" si="95"/>
        <v>-212.45596423309883</v>
      </c>
      <c r="O107" s="47">
        <f t="shared" si="95"/>
        <v>-383.67393531412313</v>
      </c>
      <c r="P107" s="47">
        <f t="shared" ca="1" si="95"/>
        <v>-497.86249114808447</v>
      </c>
      <c r="Q107" s="47">
        <f t="shared" ca="1" si="95"/>
        <v>-421.33852935926529</v>
      </c>
      <c r="R107" s="47">
        <f t="shared" ca="1" si="95"/>
        <v>-135.89132671795892</v>
      </c>
      <c r="S107" s="47">
        <f t="shared" ca="1" si="95"/>
        <v>412.46682026602605</v>
      </c>
      <c r="T107" s="47">
        <f t="shared" ca="1" si="95"/>
        <v>1200.8744436374398</v>
      </c>
      <c r="U107" s="47">
        <f t="shared" ca="1" si="95"/>
        <v>2248.8231534131946</v>
      </c>
      <c r="V107" s="47">
        <f t="shared" ca="1" si="95"/>
        <v>3592.2105284266345</v>
      </c>
    </row>
    <row r="108" spans="1:22" ht="15" thickTop="1" x14ac:dyDescent="0.3">
      <c r="H108" s="46"/>
      <c r="I108" s="46"/>
      <c r="J108" s="46"/>
      <c r="K108" s="46"/>
      <c r="L108" s="46"/>
    </row>
    <row r="109" spans="1:22" ht="19.8" x14ac:dyDescent="0.4">
      <c r="A109" s="12" t="s">
        <v>108</v>
      </c>
      <c r="B109" s="13"/>
      <c r="C109" s="13"/>
      <c r="D109" s="6"/>
      <c r="E109" s="6"/>
      <c r="F109" s="6"/>
      <c r="G109" s="6"/>
      <c r="H109" s="48"/>
      <c r="I109" s="48"/>
      <c r="J109" s="48"/>
      <c r="K109" s="48"/>
      <c r="L109" s="48"/>
      <c r="M109" s="14"/>
      <c r="N109" s="15"/>
      <c r="O109" s="15"/>
      <c r="P109" s="15"/>
      <c r="Q109" s="15"/>
      <c r="R109" s="15"/>
      <c r="S109" s="15"/>
      <c r="T109" s="15"/>
      <c r="U109" s="15"/>
      <c r="V109" s="15"/>
    </row>
    <row r="110" spans="1:22" x14ac:dyDescent="0.3">
      <c r="H110" s="46"/>
      <c r="I110" s="46"/>
      <c r="J110" s="46"/>
      <c r="K110" s="46"/>
      <c r="L110" s="46"/>
    </row>
    <row r="111" spans="1:22" x14ac:dyDescent="0.3">
      <c r="C111" s="16" t="s">
        <v>110</v>
      </c>
      <c r="H111" s="46"/>
      <c r="I111" s="46"/>
      <c r="J111" s="46"/>
      <c r="K111" s="46"/>
      <c r="L111" s="46"/>
    </row>
    <row r="112" spans="1:22" x14ac:dyDescent="0.3">
      <c r="C112" s="16"/>
      <c r="D112" t="s">
        <v>314</v>
      </c>
      <c r="F112" t="s">
        <v>239</v>
      </c>
      <c r="H112" s="46">
        <f>H45+H49+H47-H61-H63+H46-H62</f>
        <v>47.702300000000051</v>
      </c>
      <c r="I112" s="46">
        <f t="shared" ref="I112:V112" si="96">I45+I49+I47-I61-I63+I46-I62</f>
        <v>116.13420000000005</v>
      </c>
      <c r="J112" s="46">
        <f t="shared" si="96"/>
        <v>-123.55469999999991</v>
      </c>
      <c r="K112" s="46">
        <f t="shared" si="96"/>
        <v>-88.780699999999911</v>
      </c>
      <c r="L112" s="46">
        <f t="shared" si="96"/>
        <v>-31.026699999999892</v>
      </c>
      <c r="M112" s="46">
        <f>M45+M49+M47-M61-M63+M46-M62</f>
        <v>-100.67988265884173</v>
      </c>
      <c r="N112" s="46">
        <f t="shared" si="96"/>
        <v>-56.173887929926195</v>
      </c>
      <c r="O112" s="46">
        <f t="shared" si="96"/>
        <v>-11.43201142894759</v>
      </c>
      <c r="P112" s="46">
        <f t="shared" si="96"/>
        <v>33.075865057930969</v>
      </c>
      <c r="Q112" s="46">
        <f t="shared" si="96"/>
        <v>76.929164205317306</v>
      </c>
      <c r="R112" s="46">
        <f t="shared" si="96"/>
        <v>119.76347493772505</v>
      </c>
      <c r="S112" s="46">
        <f t="shared" si="96"/>
        <v>161.27366275778422</v>
      </c>
      <c r="T112" s="46">
        <f t="shared" si="96"/>
        <v>201.21387703569542</v>
      </c>
      <c r="U112" s="46">
        <f t="shared" si="96"/>
        <v>239.39515372472727</v>
      </c>
      <c r="V112" s="46">
        <f t="shared" si="96"/>
        <v>275.68128989997206</v>
      </c>
    </row>
    <row r="113" spans="1:22" x14ac:dyDescent="0.3">
      <c r="D113" t="s">
        <v>111</v>
      </c>
      <c r="F113" t="s">
        <v>239</v>
      </c>
      <c r="H113" s="49">
        <f>Historical!H115</f>
        <v>2.8201999999999998</v>
      </c>
      <c r="I113" s="49">
        <f>Historical!I115</f>
        <v>22.0108</v>
      </c>
      <c r="J113" s="49">
        <f>Historical!J115</f>
        <v>-47.591800000000006</v>
      </c>
      <c r="K113" s="49">
        <f>Historical!K115</f>
        <v>-51.839199999999998</v>
      </c>
      <c r="L113" s="49">
        <f>Historical!L115</f>
        <v>-42.7012</v>
      </c>
      <c r="M113" s="46">
        <f t="shared" ref="M113:V113" si="97">L45-M45</f>
        <v>28.122772533476024</v>
      </c>
      <c r="N113" s="46">
        <f t="shared" si="97"/>
        <v>-24.982545213583279</v>
      </c>
      <c r="O113" s="46">
        <f t="shared" si="97"/>
        <v>-25.114952703215323</v>
      </c>
      <c r="P113" s="46">
        <f t="shared" si="97"/>
        <v>-24.983601500577436</v>
      </c>
      <c r="Q113" s="46">
        <f t="shared" si="97"/>
        <v>-24.616167673308553</v>
      </c>
      <c r="R113" s="46">
        <f t="shared" si="97"/>
        <v>-24.044179016401188</v>
      </c>
      <c r="S113" s="46">
        <f t="shared" si="97"/>
        <v>-23.300909245046228</v>
      </c>
      <c r="T113" s="46">
        <f t="shared" si="97"/>
        <v>-22.419636166222915</v>
      </c>
      <c r="U113" s="46">
        <f t="shared" si="97"/>
        <v>-21.432291919460226</v>
      </c>
      <c r="V113" s="46">
        <f t="shared" si="97"/>
        <v>-20.368492899571777</v>
      </c>
    </row>
    <row r="114" spans="1:22" x14ac:dyDescent="0.3">
      <c r="D114" t="s">
        <v>50</v>
      </c>
      <c r="F114" t="s">
        <v>239</v>
      </c>
      <c r="H114" s="49">
        <f>Historical!H116</f>
        <v>39.385199999999998</v>
      </c>
      <c r="I114" s="49">
        <f>Historical!I116</f>
        <v>-178.81639999999999</v>
      </c>
      <c r="J114" s="49">
        <f>Historical!J116</f>
        <v>38.331099999999999</v>
      </c>
      <c r="K114" s="49">
        <f>Historical!K116</f>
        <v>-112.4552</v>
      </c>
      <c r="L114" s="49">
        <f>Historical!L116</f>
        <v>-21.132399999999997</v>
      </c>
      <c r="M114" s="46">
        <f t="shared" ref="M114:V114" si="98">L47-M47</f>
        <v>-4.3660168981190282</v>
      </c>
      <c r="N114" s="46">
        <f t="shared" si="98"/>
        <v>-54.986620677079827</v>
      </c>
      <c r="O114" s="46">
        <f t="shared" si="98"/>
        <v>-55.278049766668346</v>
      </c>
      <c r="P114" s="46">
        <f t="shared" si="98"/>
        <v>-54.988945566388793</v>
      </c>
      <c r="Q114" s="46">
        <f t="shared" si="98"/>
        <v>-54.180223143943977</v>
      </c>
      <c r="R114" s="46">
        <f t="shared" si="98"/>
        <v>-52.921275224904321</v>
      </c>
      <c r="S114" s="46">
        <f t="shared" si="98"/>
        <v>-51.285337307897521</v>
      </c>
      <c r="T114" s="46">
        <f t="shared" si="98"/>
        <v>-49.345653897584498</v>
      </c>
      <c r="U114" s="46">
        <f t="shared" si="98"/>
        <v>-47.17250768248573</v>
      </c>
      <c r="V114" s="46">
        <f t="shared" si="98"/>
        <v>-44.831084393418678</v>
      </c>
    </row>
    <row r="115" spans="1:22" x14ac:dyDescent="0.3">
      <c r="D115" t="s">
        <v>58</v>
      </c>
      <c r="F115" t="s">
        <v>239</v>
      </c>
      <c r="H115" s="49">
        <f>Historical!H118</f>
        <v>16.113099999999999</v>
      </c>
      <c r="I115" s="49">
        <f>Historical!I118</f>
        <v>110.1991</v>
      </c>
      <c r="J115" s="49">
        <f>Historical!J118</f>
        <v>-56.718500000000006</v>
      </c>
      <c r="K115" s="49">
        <f>Historical!K118</f>
        <v>16.900099999999998</v>
      </c>
      <c r="L115" s="49">
        <f>Historical!L118</f>
        <v>26.927399999999999</v>
      </c>
      <c r="M115" s="46">
        <f t="shared" ref="M115:V115" si="99">M61-L61</f>
        <v>45.896427023484762</v>
      </c>
      <c r="N115" s="46">
        <f t="shared" si="99"/>
        <v>35.463171161747709</v>
      </c>
      <c r="O115" s="46">
        <f t="shared" si="99"/>
        <v>35.651125968904921</v>
      </c>
      <c r="P115" s="46">
        <f t="shared" si="99"/>
        <v>35.464670580087613</v>
      </c>
      <c r="Q115" s="46">
        <f t="shared" si="99"/>
        <v>34.943091669866305</v>
      </c>
      <c r="R115" s="46">
        <f t="shared" si="99"/>
        <v>34.131143508897708</v>
      </c>
      <c r="S115" s="46">
        <f t="shared" si="99"/>
        <v>33.076058732884519</v>
      </c>
      <c r="T115" s="46">
        <f t="shared" si="99"/>
        <v>31.825075785896331</v>
      </c>
      <c r="U115" s="46">
        <f t="shared" si="99"/>
        <v>30.423522912913995</v>
      </c>
      <c r="V115" s="46">
        <f t="shared" si="99"/>
        <v>28.913441117745606</v>
      </c>
    </row>
    <row r="116" spans="1:22" x14ac:dyDescent="0.3">
      <c r="D116" t="s">
        <v>112</v>
      </c>
      <c r="F116" t="s">
        <v>239</v>
      </c>
      <c r="H116" s="49">
        <f>Historical!H119+Historical!H117</f>
        <v>48.159300000000002</v>
      </c>
      <c r="I116" s="49">
        <f>Historical!I119+Historical!I117</f>
        <v>4.9544999999999959</v>
      </c>
      <c r="J116" s="49">
        <f>Historical!J119+Historical!J117</f>
        <v>70.0578</v>
      </c>
      <c r="K116" s="49">
        <f>Historical!K119+Historical!K117</f>
        <v>-75.180400000000006</v>
      </c>
      <c r="L116" s="49">
        <f>Historical!L119+Historical!L117</f>
        <v>-38.339599999999997</v>
      </c>
      <c r="M116" s="46">
        <f t="shared" ref="M116:V116" si="100">M63-L63+M49-L49</f>
        <v>0</v>
      </c>
      <c r="N116" s="46">
        <f t="shared" si="100"/>
        <v>0</v>
      </c>
      <c r="O116" s="46">
        <f t="shared" si="100"/>
        <v>0</v>
      </c>
      <c r="P116" s="46">
        <f t="shared" si="100"/>
        <v>0</v>
      </c>
      <c r="Q116" s="46">
        <f t="shared" si="100"/>
        <v>0</v>
      </c>
      <c r="R116" s="46">
        <f t="shared" si="100"/>
        <v>0</v>
      </c>
      <c r="S116" s="46">
        <f t="shared" si="100"/>
        <v>0</v>
      </c>
      <c r="T116" s="46">
        <f t="shared" si="100"/>
        <v>0</v>
      </c>
      <c r="U116" s="46">
        <f t="shared" si="100"/>
        <v>0</v>
      </c>
      <c r="V116" s="46">
        <f t="shared" si="100"/>
        <v>0</v>
      </c>
    </row>
    <row r="117" spans="1:22" ht="15" thickBot="1" x14ac:dyDescent="0.35">
      <c r="A117"/>
      <c r="B117"/>
      <c r="D117" s="27" t="s">
        <v>113</v>
      </c>
      <c r="E117" s="27"/>
      <c r="F117" s="27" t="s">
        <v>239</v>
      </c>
      <c r="G117" s="27"/>
      <c r="H117" s="47">
        <f>SUM(H113:H116)</f>
        <v>106.4778</v>
      </c>
      <c r="I117" s="47">
        <f t="shared" ref="I117:M117" si="101">SUM(I113:I116)</f>
        <v>-41.652000000000001</v>
      </c>
      <c r="J117" s="47">
        <f t="shared" si="101"/>
        <v>4.0785999999999802</v>
      </c>
      <c r="K117" s="47">
        <f t="shared" si="101"/>
        <v>-222.57470000000001</v>
      </c>
      <c r="L117" s="47">
        <f>SUM(L113:L116)</f>
        <v>-75.245800000000003</v>
      </c>
      <c r="M117" s="47">
        <f t="shared" si="101"/>
        <v>69.653182658841757</v>
      </c>
      <c r="N117" s="47">
        <f t="shared" ref="N117:V117" si="102">SUM(N113:N116)</f>
        <v>-44.505994728915397</v>
      </c>
      <c r="O117" s="47">
        <f t="shared" si="102"/>
        <v>-44.741876500978748</v>
      </c>
      <c r="P117" s="47">
        <f t="shared" si="102"/>
        <v>-44.507876486878615</v>
      </c>
      <c r="Q117" s="47">
        <f t="shared" si="102"/>
        <v>-43.853299147386224</v>
      </c>
      <c r="R117" s="47">
        <f t="shared" si="102"/>
        <v>-42.834310732407801</v>
      </c>
      <c r="S117" s="47">
        <f t="shared" si="102"/>
        <v>-41.51018782005923</v>
      </c>
      <c r="T117" s="47">
        <f t="shared" si="102"/>
        <v>-39.940214277911082</v>
      </c>
      <c r="U117" s="47">
        <f t="shared" si="102"/>
        <v>-38.181276689031961</v>
      </c>
      <c r="V117" s="47">
        <f t="shared" si="102"/>
        <v>-36.286136175244849</v>
      </c>
    </row>
    <row r="118" spans="1:22" ht="15" thickTop="1" x14ac:dyDescent="0.3">
      <c r="A118"/>
      <c r="B118"/>
      <c r="C118" s="41"/>
      <c r="H118" s="42"/>
      <c r="I118" s="42"/>
      <c r="J118" s="42"/>
      <c r="K118" s="42"/>
      <c r="L118" s="42"/>
    </row>
    <row r="119" spans="1:22" x14ac:dyDescent="0.3">
      <c r="A119"/>
      <c r="B119"/>
      <c r="C119" s="16" t="s">
        <v>114</v>
      </c>
      <c r="H119" s="42"/>
      <c r="I119" s="42"/>
      <c r="J119" s="42"/>
      <c r="K119" s="42"/>
      <c r="L119" s="42"/>
    </row>
    <row r="120" spans="1:22" x14ac:dyDescent="0.3">
      <c r="A120"/>
      <c r="B120"/>
      <c r="D120" t="s">
        <v>115</v>
      </c>
      <c r="F120" t="s">
        <v>239</v>
      </c>
      <c r="H120" s="49"/>
      <c r="I120" s="49">
        <f>H123</f>
        <v>908.29130000000009</v>
      </c>
      <c r="J120" s="49">
        <f t="shared" ref="J120:L120" si="103">I123</f>
        <v>873.2595</v>
      </c>
      <c r="K120" s="49">
        <f t="shared" si="103"/>
        <v>1396.4168</v>
      </c>
      <c r="L120" s="49">
        <f t="shared" si="103"/>
        <v>2400.5821000000001</v>
      </c>
      <c r="M120" s="46">
        <f>L123</f>
        <v>2589.2979</v>
      </c>
      <c r="N120" s="46">
        <f t="shared" ref="N120:V120" si="104">M123</f>
        <v>2784.860310652085</v>
      </c>
      <c r="O120" s="46">
        <f t="shared" si="104"/>
        <v>3713.4161181636482</v>
      </c>
      <c r="P120" s="46">
        <f t="shared" si="104"/>
        <v>4288.4018328170123</v>
      </c>
      <c r="Q120" s="46">
        <f t="shared" si="104"/>
        <v>4763.2132260754015</v>
      </c>
      <c r="R120" s="46">
        <f t="shared" si="104"/>
        <v>5070.993803772215</v>
      </c>
      <c r="S120" s="46">
        <f t="shared" si="104"/>
        <v>5209.1170949578845</v>
      </c>
      <c r="T120" s="46">
        <f t="shared" si="104"/>
        <v>5071.8502505456481</v>
      </c>
      <c r="U120" s="46">
        <f t="shared" si="104"/>
        <v>4783.8703426060511</v>
      </c>
      <c r="V120" s="46">
        <f t="shared" si="104"/>
        <v>4345.9428623113363</v>
      </c>
    </row>
    <row r="121" spans="1:22" x14ac:dyDescent="0.3">
      <c r="A121"/>
      <c r="B121"/>
      <c r="D121" t="s">
        <v>116</v>
      </c>
      <c r="F121" t="s">
        <v>239</v>
      </c>
      <c r="H121" s="49"/>
      <c r="I121" s="49">
        <f>I123-I120-I122</f>
        <v>96.080399999999912</v>
      </c>
      <c r="J121" s="49">
        <f t="shared" ref="J121:L121" si="105">J123-J120-J122</f>
        <v>669.75499999999988</v>
      </c>
      <c r="K121" s="49">
        <f>K123-K120-K122</f>
        <v>1336.0758000000001</v>
      </c>
      <c r="L121" s="49">
        <f t="shared" si="105"/>
        <v>554.00249999999994</v>
      </c>
      <c r="M121" s="49">
        <f>M18*M23</f>
        <v>589.56521739130437</v>
      </c>
      <c r="N121" s="49">
        <f t="shared" ref="N121:V121" si="106">N18*N23</f>
        <v>1352.3165415598066</v>
      </c>
      <c r="O121" s="49">
        <f t="shared" si="106"/>
        <v>1140.040965015686</v>
      </c>
      <c r="P121" s="49">
        <f t="shared" si="106"/>
        <v>1213.1278904667249</v>
      </c>
      <c r="Q121" s="49">
        <f t="shared" si="106"/>
        <v>1127.8433986807051</v>
      </c>
      <c r="R121" s="49">
        <f t="shared" si="106"/>
        <v>1011.1754277451022</v>
      </c>
      <c r="S121" s="49">
        <f t="shared" si="106"/>
        <v>863.74775272616057</v>
      </c>
      <c r="T121" s="49">
        <f t="shared" si="106"/>
        <v>686.65668454753688</v>
      </c>
      <c r="U121" s="49">
        <f t="shared" si="106"/>
        <v>481.36919829239537</v>
      </c>
      <c r="V121" s="49">
        <f t="shared" si="106"/>
        <v>249.62535703098632</v>
      </c>
    </row>
    <row r="122" spans="1:22" x14ac:dyDescent="0.3">
      <c r="A122"/>
      <c r="B122"/>
      <c r="D122" t="s">
        <v>117</v>
      </c>
      <c r="F122" t="s">
        <v>239</v>
      </c>
      <c r="H122" s="49">
        <f t="shared" ref="H122:V122" si="107">-H81</f>
        <v>-121.62949999999999</v>
      </c>
      <c r="I122" s="49">
        <f t="shared" si="107"/>
        <v>-131.1122</v>
      </c>
      <c r="J122" s="49">
        <f t="shared" si="107"/>
        <v>-146.59769999999997</v>
      </c>
      <c r="K122" s="49">
        <f t="shared" si="107"/>
        <v>-331.91049999999996</v>
      </c>
      <c r="L122" s="49">
        <f t="shared" si="107"/>
        <v>-365.2867</v>
      </c>
      <c r="M122" s="49">
        <f t="shared" si="107"/>
        <v>-394.00280673921958</v>
      </c>
      <c r="N122" s="49">
        <f t="shared" si="107"/>
        <v>-423.76073404824388</v>
      </c>
      <c r="O122" s="49">
        <f t="shared" si="107"/>
        <v>-565.05525036232211</v>
      </c>
      <c r="P122" s="49">
        <f t="shared" si="107"/>
        <v>-738.31649720833627</v>
      </c>
      <c r="Q122" s="49">
        <f t="shared" si="107"/>
        <v>-820.06282098389147</v>
      </c>
      <c r="R122" s="49">
        <f t="shared" si="107"/>
        <v>-873.0521365594326</v>
      </c>
      <c r="S122" s="49">
        <f t="shared" si="107"/>
        <v>-1001.0145971383972</v>
      </c>
      <c r="T122" s="49">
        <f t="shared" si="107"/>
        <v>-974.63659248713407</v>
      </c>
      <c r="U122" s="49">
        <f t="shared" si="107"/>
        <v>-919.29667858711082</v>
      </c>
      <c r="V122" s="49">
        <f t="shared" si="107"/>
        <v>-922.06081397320395</v>
      </c>
    </row>
    <row r="123" spans="1:22" ht="15" thickBot="1" x14ac:dyDescent="0.35">
      <c r="A123"/>
      <c r="B123"/>
      <c r="D123" s="27" t="s">
        <v>118</v>
      </c>
      <c r="E123" s="30"/>
      <c r="F123" s="30" t="s">
        <v>239</v>
      </c>
      <c r="G123" s="30"/>
      <c r="H123" s="47">
        <f>H51</f>
        <v>908.29130000000009</v>
      </c>
      <c r="I123" s="47">
        <f>I51</f>
        <v>873.2595</v>
      </c>
      <c r="J123" s="47">
        <f>J51</f>
        <v>1396.4168</v>
      </c>
      <c r="K123" s="47">
        <f>K51</f>
        <v>2400.5821000000001</v>
      </c>
      <c r="L123" s="47">
        <f>L51</f>
        <v>2589.2979</v>
      </c>
      <c r="M123" s="47">
        <f>SUM(M120:M122)</f>
        <v>2784.860310652085</v>
      </c>
      <c r="N123" s="47">
        <f t="shared" ref="N123:V123" si="108">SUM(N120:N122)</f>
        <v>3713.4161181636482</v>
      </c>
      <c r="O123" s="47">
        <f t="shared" si="108"/>
        <v>4288.4018328170123</v>
      </c>
      <c r="P123" s="47">
        <f t="shared" si="108"/>
        <v>4763.2132260754015</v>
      </c>
      <c r="Q123" s="47">
        <f t="shared" si="108"/>
        <v>5070.993803772215</v>
      </c>
      <c r="R123" s="47">
        <f t="shared" si="108"/>
        <v>5209.1170949578845</v>
      </c>
      <c r="S123" s="47">
        <f t="shared" si="108"/>
        <v>5071.8502505456481</v>
      </c>
      <c r="T123" s="47">
        <f t="shared" si="108"/>
        <v>4783.8703426060511</v>
      </c>
      <c r="U123" s="47">
        <f t="shared" si="108"/>
        <v>4345.9428623113363</v>
      </c>
      <c r="V123" s="47">
        <f t="shared" si="108"/>
        <v>3673.5074053691187</v>
      </c>
    </row>
    <row r="124" spans="1:22" ht="15" thickTop="1" x14ac:dyDescent="0.3">
      <c r="A124"/>
      <c r="B124"/>
      <c r="L124" s="146"/>
      <c r="M124" s="36"/>
      <c r="N124" s="36"/>
      <c r="O124" s="36"/>
      <c r="P124" s="36"/>
      <c r="Q124" s="36"/>
      <c r="R124" s="36"/>
      <c r="S124" s="36"/>
      <c r="T124" s="36"/>
      <c r="U124" s="36"/>
      <c r="V124" s="36"/>
    </row>
    <row r="125" spans="1:22" x14ac:dyDescent="0.3">
      <c r="A125"/>
      <c r="B125"/>
      <c r="C125" s="16" t="s">
        <v>119</v>
      </c>
    </row>
    <row r="126" spans="1:22" x14ac:dyDescent="0.3">
      <c r="A126"/>
      <c r="B126"/>
      <c r="D126" t="s">
        <v>120</v>
      </c>
      <c r="F126" t="s">
        <v>239</v>
      </c>
      <c r="H126" s="49"/>
      <c r="I126" s="49">
        <f t="shared" ref="I126:V126" si="109">H128</f>
        <v>8.0082000000000004</v>
      </c>
      <c r="J126" s="49">
        <f t="shared" si="109"/>
        <v>4.8384</v>
      </c>
      <c r="K126" s="49">
        <f t="shared" si="109"/>
        <v>72.102599999999995</v>
      </c>
      <c r="L126" s="49">
        <f t="shared" si="109"/>
        <v>292.72900000000004</v>
      </c>
      <c r="M126" s="46">
        <f t="shared" si="109"/>
        <v>493.18610000000001</v>
      </c>
      <c r="N126" s="46">
        <f t="shared" si="109"/>
        <v>493.18610000000001</v>
      </c>
      <c r="O126" s="46">
        <f t="shared" si="109"/>
        <v>493.18610000000001</v>
      </c>
      <c r="P126" s="46">
        <f t="shared" si="109"/>
        <v>493.18610000000001</v>
      </c>
      <c r="Q126" s="46">
        <f t="shared" ca="1" si="109"/>
        <v>493.18610000000001</v>
      </c>
      <c r="R126" s="46">
        <f t="shared" ca="1" si="109"/>
        <v>493.18610000000001</v>
      </c>
      <c r="S126" s="46">
        <f t="shared" ca="1" si="109"/>
        <v>493.18610000000001</v>
      </c>
      <c r="T126" s="46">
        <f t="shared" ca="1" si="109"/>
        <v>493.18610000000001</v>
      </c>
      <c r="U126" s="46">
        <f t="shared" ca="1" si="109"/>
        <v>493.18610000000001</v>
      </c>
      <c r="V126" s="46">
        <f t="shared" ca="1" si="109"/>
        <v>493.18610000000001</v>
      </c>
    </row>
    <row r="127" spans="1:22" x14ac:dyDescent="0.3">
      <c r="A127"/>
      <c r="B127"/>
      <c r="D127" t="s">
        <v>121</v>
      </c>
      <c r="F127" t="s">
        <v>239</v>
      </c>
      <c r="H127" s="49">
        <f t="shared" ref="H127:L127" si="110">H126-H128</f>
        <v>-8.0082000000000004</v>
      </c>
      <c r="I127" s="49">
        <f t="shared" si="110"/>
        <v>3.1698000000000004</v>
      </c>
      <c r="J127" s="49">
        <f t="shared" si="110"/>
        <v>-67.264199999999988</v>
      </c>
      <c r="K127" s="49">
        <f t="shared" si="110"/>
        <v>-220.62640000000005</v>
      </c>
      <c r="L127" s="49">
        <f t="shared" si="110"/>
        <v>-200.45709999999997</v>
      </c>
      <c r="M127" s="49">
        <v>0</v>
      </c>
      <c r="N127" s="49">
        <v>0</v>
      </c>
      <c r="O127" s="49">
        <v>0</v>
      </c>
      <c r="P127" s="49">
        <f t="shared" ref="P127:V127" ca="1" si="111">P126-P128</f>
        <v>0</v>
      </c>
      <c r="Q127" s="49">
        <f t="shared" ca="1" si="111"/>
        <v>0</v>
      </c>
      <c r="R127" s="49">
        <f t="shared" ca="1" si="111"/>
        <v>0</v>
      </c>
      <c r="S127" s="49">
        <f t="shared" ca="1" si="111"/>
        <v>0</v>
      </c>
      <c r="T127" s="49">
        <f t="shared" ca="1" si="111"/>
        <v>0</v>
      </c>
      <c r="U127" s="49">
        <f t="shared" ca="1" si="111"/>
        <v>0</v>
      </c>
      <c r="V127" s="49">
        <f t="shared" ca="1" si="111"/>
        <v>0</v>
      </c>
    </row>
    <row r="128" spans="1:22" ht="15" thickBot="1" x14ac:dyDescent="0.35">
      <c r="A128"/>
      <c r="B128"/>
      <c r="D128" s="27" t="s">
        <v>122</v>
      </c>
      <c r="E128" s="27"/>
      <c r="F128" s="27" t="s">
        <v>239</v>
      </c>
      <c r="G128" s="27"/>
      <c r="H128" s="47">
        <f t="shared" ref="H128:L128" si="112">H65</f>
        <v>8.0082000000000004</v>
      </c>
      <c r="I128" s="47">
        <f t="shared" si="112"/>
        <v>4.8384</v>
      </c>
      <c r="J128" s="47">
        <f t="shared" si="112"/>
        <v>72.102599999999995</v>
      </c>
      <c r="K128" s="47">
        <f>K65</f>
        <v>292.72900000000004</v>
      </c>
      <c r="L128" s="47">
        <f t="shared" si="112"/>
        <v>493.18610000000001</v>
      </c>
      <c r="M128" s="47">
        <f>M126-M127</f>
        <v>493.18610000000001</v>
      </c>
      <c r="N128" s="47">
        <f t="shared" ref="N128:V128" si="113">N126-N127</f>
        <v>493.18610000000001</v>
      </c>
      <c r="O128" s="47">
        <f t="shared" si="113"/>
        <v>493.18610000000001</v>
      </c>
      <c r="P128" s="47">
        <f t="shared" ca="1" si="113"/>
        <v>493.18610000000001</v>
      </c>
      <c r="Q128" s="47">
        <f t="shared" ca="1" si="113"/>
        <v>493.18610000000001</v>
      </c>
      <c r="R128" s="47">
        <f t="shared" ca="1" si="113"/>
        <v>493.18610000000001</v>
      </c>
      <c r="S128" s="47">
        <f t="shared" ca="1" si="113"/>
        <v>493.18610000000001</v>
      </c>
      <c r="T128" s="47">
        <f t="shared" ca="1" si="113"/>
        <v>493.18610000000001</v>
      </c>
      <c r="U128" s="47">
        <f t="shared" ca="1" si="113"/>
        <v>493.18610000000001</v>
      </c>
      <c r="V128" s="47">
        <f t="shared" ca="1" si="113"/>
        <v>493.18610000000001</v>
      </c>
    </row>
    <row r="129" spans="1:24" ht="15" thickTop="1" x14ac:dyDescent="0.3">
      <c r="A129"/>
      <c r="B129"/>
      <c r="D129" t="s">
        <v>109</v>
      </c>
      <c r="F129" t="s">
        <v>239</v>
      </c>
      <c r="H129" s="49">
        <f>H32</f>
        <v>-13.340299999999999</v>
      </c>
      <c r="I129" s="49">
        <f>I32</f>
        <v>-9.6950000000000003</v>
      </c>
      <c r="J129" s="49">
        <f>J32</f>
        <v>-12.601199999999999</v>
      </c>
      <c r="K129" s="49">
        <f>K32</f>
        <v>-31.623100000000001</v>
      </c>
      <c r="L129" s="49">
        <f>L32</f>
        <v>-46.304499999999997</v>
      </c>
      <c r="M129" s="49">
        <f t="shared" ref="M129:V129" si="114">-M128*M12</f>
        <v>-28.570994328209792</v>
      </c>
      <c r="N129" s="49">
        <f t="shared" si="114"/>
        <v>-28.570994328209792</v>
      </c>
      <c r="O129" s="49">
        <f t="shared" si="114"/>
        <v>-28.570994328209792</v>
      </c>
      <c r="P129" s="49">
        <f t="shared" ca="1" si="114"/>
        <v>-28.570994328209792</v>
      </c>
      <c r="Q129" s="49">
        <f t="shared" ca="1" si="114"/>
        <v>-28.570994328209792</v>
      </c>
      <c r="R129" s="49">
        <f t="shared" ca="1" si="114"/>
        <v>-28.570994328209792</v>
      </c>
      <c r="S129" s="49">
        <f t="shared" ca="1" si="114"/>
        <v>-28.570994328209792</v>
      </c>
      <c r="T129" s="49">
        <f t="shared" ca="1" si="114"/>
        <v>-28.570994328209792</v>
      </c>
      <c r="U129" s="49">
        <f t="shared" ca="1" si="114"/>
        <v>-28.570994328209792</v>
      </c>
      <c r="V129" s="49">
        <f t="shared" ca="1" si="114"/>
        <v>-28.570994328209792</v>
      </c>
    </row>
    <row r="130" spans="1:24" x14ac:dyDescent="0.3">
      <c r="K130" s="146"/>
    </row>
    <row r="133" spans="1:24" ht="21" x14ac:dyDescent="0.4">
      <c r="A133" s="82" t="s">
        <v>176</v>
      </c>
      <c r="B133" s="83"/>
      <c r="C133" s="83"/>
      <c r="D133" s="84"/>
      <c r="E133" s="84"/>
      <c r="F133" s="84"/>
      <c r="G133" s="84"/>
      <c r="H133" s="84"/>
      <c r="I133" s="84"/>
      <c r="J133" s="84"/>
      <c r="K133" s="84"/>
      <c r="L133" s="84"/>
      <c r="M133" s="84"/>
      <c r="N133" s="84"/>
      <c r="O133" s="84"/>
      <c r="P133" s="84"/>
      <c r="Q133" s="84"/>
      <c r="R133" s="84"/>
      <c r="S133" s="62"/>
      <c r="T133" s="62"/>
      <c r="U133" s="62"/>
      <c r="V133" s="62"/>
      <c r="W133" s="62"/>
      <c r="X133" s="62"/>
    </row>
    <row r="135" spans="1:24" x14ac:dyDescent="0.3">
      <c r="D135" s="63" t="s">
        <v>177</v>
      </c>
      <c r="E135" s="63"/>
    </row>
    <row r="136" spans="1:24" x14ac:dyDescent="0.3">
      <c r="D136" t="s">
        <v>178</v>
      </c>
      <c r="E136" s="57">
        <v>46161</v>
      </c>
    </row>
    <row r="137" spans="1:24" x14ac:dyDescent="0.3">
      <c r="D137" t="s">
        <v>179</v>
      </c>
      <c r="E137" s="57">
        <v>46477</v>
      </c>
    </row>
    <row r="138" spans="1:24" x14ac:dyDescent="0.3">
      <c r="D138" t="s">
        <v>180</v>
      </c>
      <c r="E138" s="51">
        <f>M13</f>
        <v>0.25560460784368472</v>
      </c>
    </row>
    <row r="139" spans="1:24" x14ac:dyDescent="0.3">
      <c r="D139" t="s">
        <v>181</v>
      </c>
      <c r="E139" s="64">
        <f>Comps!T22</f>
        <v>15.429841444143783</v>
      </c>
    </row>
    <row r="140" spans="1:24" x14ac:dyDescent="0.3">
      <c r="D140" t="s">
        <v>182</v>
      </c>
      <c r="E140" s="34">
        <v>0.04</v>
      </c>
    </row>
    <row r="141" spans="1:24" x14ac:dyDescent="0.3">
      <c r="D141" t="s">
        <v>183</v>
      </c>
      <c r="E141" s="51">
        <f>WACC!H51</f>
        <v>0.1073059467481603</v>
      </c>
    </row>
    <row r="142" spans="1:24" x14ac:dyDescent="0.3">
      <c r="D142" t="s">
        <v>184</v>
      </c>
      <c r="E142">
        <f>'Comp Data'!H14</f>
        <v>40.42</v>
      </c>
      <c r="F142" t="s">
        <v>174</v>
      </c>
    </row>
    <row r="148" spans="1:27" x14ac:dyDescent="0.3">
      <c r="D148" s="63" t="s">
        <v>185</v>
      </c>
      <c r="E148" s="63"/>
      <c r="F148" s="63"/>
      <c r="G148" s="63"/>
      <c r="H148" s="63">
        <v>2023</v>
      </c>
      <c r="I148" s="63">
        <f>H148+1</f>
        <v>2024</v>
      </c>
      <c r="J148" s="63">
        <f>I148+1</f>
        <v>2025</v>
      </c>
      <c r="K148" s="63">
        <f>J148+1</f>
        <v>2026</v>
      </c>
      <c r="L148" s="63" t="s">
        <v>242</v>
      </c>
      <c r="M148" s="63">
        <v>2027</v>
      </c>
      <c r="N148" s="63">
        <v>2028</v>
      </c>
      <c r="O148" s="63">
        <f t="shared" ref="O148:V148" si="115">N148+1</f>
        <v>2029</v>
      </c>
      <c r="P148" s="63">
        <f t="shared" si="115"/>
        <v>2030</v>
      </c>
      <c r="Q148" s="63">
        <f t="shared" si="115"/>
        <v>2031</v>
      </c>
      <c r="R148" s="63">
        <f t="shared" si="115"/>
        <v>2032</v>
      </c>
      <c r="S148" s="63">
        <f t="shared" si="115"/>
        <v>2033</v>
      </c>
      <c r="T148" s="63">
        <f t="shared" si="115"/>
        <v>2034</v>
      </c>
      <c r="U148" s="63">
        <f t="shared" si="115"/>
        <v>2035</v>
      </c>
      <c r="V148" s="63">
        <f t="shared" si="115"/>
        <v>2036</v>
      </c>
      <c r="W148" s="63" t="s">
        <v>186</v>
      </c>
      <c r="Y148" s="63" t="s">
        <v>187</v>
      </c>
    </row>
    <row r="149" spans="1:27" x14ac:dyDescent="0.3">
      <c r="A149"/>
      <c r="B149"/>
      <c r="C149"/>
      <c r="D149" t="s">
        <v>145</v>
      </c>
      <c r="H149" s="65">
        <f>DATE(YEAR($E$136)+H150,MONTH($E$137),DAY($E$137))</f>
        <v>45016</v>
      </c>
      <c r="I149" s="65">
        <f>DATE(YEAR($E$136)+I150,MONTH($E$137),DAY($E$137))</f>
        <v>45382</v>
      </c>
      <c r="J149" s="65">
        <f>DATE(YEAR($E$136)+J150,MONTH($E$137),DAY($E$137))</f>
        <v>45747</v>
      </c>
      <c r="K149" s="65">
        <f>DATE(YEAR($E$136)+K150,MONTH($E$137),DAY($E$137))</f>
        <v>46112</v>
      </c>
      <c r="L149" s="65">
        <v>46240</v>
      </c>
      <c r="M149" s="65">
        <f>DATE(YEAR($E$136)+M150,MONTH($E$137),DAY($E$137))</f>
        <v>46477</v>
      </c>
      <c r="N149" s="65">
        <f>DATE(YEAR($E$136)+N150,MONTH($E$137),DAY($E$137))</f>
        <v>46843</v>
      </c>
      <c r="O149" s="65">
        <f t="shared" ref="O149:W149" si="116">DATE(YEAR($E$136)+O150,MONTH($E$137),DAY($E$137))</f>
        <v>47208</v>
      </c>
      <c r="P149" s="65">
        <f t="shared" si="116"/>
        <v>47573</v>
      </c>
      <c r="Q149" s="65">
        <f t="shared" si="116"/>
        <v>47938</v>
      </c>
      <c r="R149" s="65">
        <f t="shared" si="116"/>
        <v>48304</v>
      </c>
      <c r="S149" s="65">
        <f t="shared" si="116"/>
        <v>48669</v>
      </c>
      <c r="T149" s="65">
        <f t="shared" si="116"/>
        <v>49034</v>
      </c>
      <c r="U149" s="65">
        <f t="shared" si="116"/>
        <v>49399</v>
      </c>
      <c r="V149" s="65">
        <f t="shared" si="116"/>
        <v>49765</v>
      </c>
      <c r="W149" s="65">
        <f t="shared" si="116"/>
        <v>49765</v>
      </c>
      <c r="Y149" t="s">
        <v>162</v>
      </c>
      <c r="Z149" s="17"/>
      <c r="AA149" s="66">
        <f>(V154+V157)*E139</f>
        <v>30455.03459145641</v>
      </c>
    </row>
    <row r="150" spans="1:27" x14ac:dyDescent="0.3">
      <c r="A150"/>
      <c r="B150"/>
      <c r="C150"/>
      <c r="D150" t="s">
        <v>188</v>
      </c>
      <c r="H150">
        <v>-3</v>
      </c>
      <c r="I150">
        <f>H150+1</f>
        <v>-2</v>
      </c>
      <c r="J150">
        <f>I150+1</f>
        <v>-1</v>
      </c>
      <c r="K150">
        <f>J150+1</f>
        <v>0</v>
      </c>
      <c r="M150">
        <v>1</v>
      </c>
      <c r="N150">
        <f t="shared" ref="N150:V150" si="117">M150+1</f>
        <v>2</v>
      </c>
      <c r="O150">
        <f t="shared" si="117"/>
        <v>3</v>
      </c>
      <c r="P150">
        <f t="shared" si="117"/>
        <v>4</v>
      </c>
      <c r="Q150">
        <f t="shared" si="117"/>
        <v>5</v>
      </c>
      <c r="R150">
        <f t="shared" si="117"/>
        <v>6</v>
      </c>
      <c r="S150">
        <f t="shared" si="117"/>
        <v>7</v>
      </c>
      <c r="T150">
        <f t="shared" si="117"/>
        <v>8</v>
      </c>
      <c r="U150">
        <f t="shared" si="117"/>
        <v>9</v>
      </c>
      <c r="V150">
        <f t="shared" si="117"/>
        <v>10</v>
      </c>
      <c r="W150">
        <f>V150</f>
        <v>10</v>
      </c>
      <c r="Y150" t="s">
        <v>189</v>
      </c>
      <c r="AA150" s="66">
        <f ca="1">V160*(1+E140)/(E141-E140)</f>
        <v>21644.378267146207</v>
      </c>
    </row>
    <row r="151" spans="1:27" x14ac:dyDescent="0.3">
      <c r="A151"/>
      <c r="B151"/>
      <c r="C151"/>
      <c r="D151" t="s">
        <v>190</v>
      </c>
      <c r="H151" s="67"/>
      <c r="I151" s="67"/>
      <c r="J151" s="67"/>
      <c r="K151" s="67"/>
      <c r="M151" s="67">
        <f>YEARFRAC(L149,M149)</f>
        <v>0.65277777777777779</v>
      </c>
      <c r="N151" s="67">
        <f>YEARFRAC(M149,N149)</f>
        <v>1</v>
      </c>
      <c r="O151" s="67">
        <f t="shared" ref="O151:V151" si="118">YEARFRAC(N149,O149,)</f>
        <v>1</v>
      </c>
      <c r="P151" s="67">
        <f t="shared" si="118"/>
        <v>1</v>
      </c>
      <c r="Q151" s="67">
        <f t="shared" si="118"/>
        <v>1</v>
      </c>
      <c r="R151" s="67">
        <f t="shared" si="118"/>
        <v>1</v>
      </c>
      <c r="S151" s="67">
        <f t="shared" si="118"/>
        <v>1</v>
      </c>
      <c r="T151" s="67">
        <f t="shared" si="118"/>
        <v>1</v>
      </c>
      <c r="U151" s="67">
        <f t="shared" si="118"/>
        <v>1</v>
      </c>
      <c r="V151" s="67">
        <f t="shared" si="118"/>
        <v>1</v>
      </c>
      <c r="W151" s="68">
        <v>1</v>
      </c>
      <c r="Y151" s="2" t="s">
        <v>166</v>
      </c>
      <c r="Z151" s="2"/>
      <c r="AA151" s="69">
        <f ca="1">AVERAGE(AA149:AA150)</f>
        <v>26049.70642930131</v>
      </c>
    </row>
    <row r="153" spans="1:27" x14ac:dyDescent="0.3">
      <c r="A153"/>
      <c r="B153"/>
      <c r="C153"/>
      <c r="N153" s="29"/>
      <c r="O153" s="29"/>
      <c r="P153" s="29"/>
      <c r="Q153" s="29"/>
      <c r="R153" s="29"/>
      <c r="S153" s="29"/>
      <c r="T153" s="29"/>
      <c r="U153" s="29"/>
      <c r="V153" s="29"/>
    </row>
    <row r="154" spans="1:27" x14ac:dyDescent="0.3">
      <c r="A154"/>
      <c r="B154"/>
      <c r="C154"/>
      <c r="D154" t="s">
        <v>39</v>
      </c>
      <c r="F154" t="s">
        <v>239</v>
      </c>
      <c r="H154" s="29">
        <f>I31</f>
        <v>389.36249999999995</v>
      </c>
      <c r="I154" s="29">
        <f>J31</f>
        <v>436.18020000000001</v>
      </c>
      <c r="J154" s="29">
        <f>K31</f>
        <v>257.29719999999992</v>
      </c>
      <c r="K154" s="29">
        <f>L31</f>
        <v>589.9255000000004</v>
      </c>
      <c r="M154" s="29">
        <f t="shared" ref="M154:V154" si="119">M31</f>
        <v>598.14275202581666</v>
      </c>
      <c r="N154" s="29">
        <f t="shared" si="119"/>
        <v>684.46585509230158</v>
      </c>
      <c r="O154" s="29">
        <f t="shared" si="119"/>
        <v>659.86759861472319</v>
      </c>
      <c r="P154" s="29">
        <f t="shared" si="119"/>
        <v>602.69229016626389</v>
      </c>
      <c r="Q154" s="29">
        <f t="shared" si="119"/>
        <v>635.32462889225008</v>
      </c>
      <c r="R154" s="29">
        <f t="shared" si="119"/>
        <v>694.05623890276695</v>
      </c>
      <c r="S154" s="29">
        <f t="shared" si="119"/>
        <v>674.36111180512262</v>
      </c>
      <c r="T154" s="29">
        <f t="shared" si="119"/>
        <v>804.91162748637385</v>
      </c>
      <c r="U154" s="29">
        <f t="shared" si="119"/>
        <v>959.83637183701694</v>
      </c>
      <c r="V154" s="29">
        <f t="shared" si="119"/>
        <v>1051.7141403388032</v>
      </c>
    </row>
    <row r="155" spans="1:27" x14ac:dyDescent="0.3">
      <c r="A155"/>
      <c r="B155"/>
      <c r="C155"/>
      <c r="D155" s="70" t="s">
        <v>191</v>
      </c>
      <c r="E155" s="70"/>
      <c r="F155" s="70" t="s">
        <v>239</v>
      </c>
      <c r="G155" s="70"/>
      <c r="H155" s="107">
        <f>I36</f>
        <v>-132.0634</v>
      </c>
      <c r="I155" s="107">
        <f>J36</f>
        <v>-128.46870000000001</v>
      </c>
      <c r="J155" s="107">
        <f>K36</f>
        <v>-56.851500000000001</v>
      </c>
      <c r="K155" s="107">
        <f>L36</f>
        <v>-141.84540000000001</v>
      </c>
      <c r="L155" s="70"/>
      <c r="M155" s="71">
        <f t="shared" ref="M155:V155" si="120">M36</f>
        <v>-145.58516576513503</v>
      </c>
      <c r="N155" s="71">
        <f t="shared" si="120"/>
        <v>-170.92922297611435</v>
      </c>
      <c r="O155" s="71">
        <f t="shared" si="120"/>
        <v>-164.51880399313666</v>
      </c>
      <c r="P155" s="71">
        <f t="shared" si="120"/>
        <v>-152.48926163577445</v>
      </c>
      <c r="Q155" s="71">
        <f t="shared" ca="1" si="120"/>
        <v>-161.15656116611231</v>
      </c>
      <c r="R155" s="71">
        <f t="shared" ca="1" si="120"/>
        <v>-180.08337363385664</v>
      </c>
      <c r="S155" s="71">
        <f t="shared" ca="1" si="120"/>
        <v>-174.7537814891671</v>
      </c>
      <c r="T155" s="71">
        <f t="shared" ca="1" si="120"/>
        <v>-213.96305575467372</v>
      </c>
      <c r="U155" s="71">
        <f t="shared" ca="1" si="120"/>
        <v>-256.66102916671582</v>
      </c>
      <c r="V155" s="71">
        <f t="shared" ca="1" si="120"/>
        <v>-287.09868125425646</v>
      </c>
    </row>
    <row r="156" spans="1:27" x14ac:dyDescent="0.3">
      <c r="A156"/>
      <c r="B156"/>
      <c r="C156"/>
      <c r="D156" s="2" t="s">
        <v>192</v>
      </c>
      <c r="E156" s="2"/>
      <c r="F156" s="2" t="s">
        <v>239</v>
      </c>
      <c r="G156" s="2"/>
      <c r="H156" s="28">
        <f>SUM(H154:H155)</f>
        <v>257.29909999999995</v>
      </c>
      <c r="I156" s="28">
        <f>SUM(I154:I155)</f>
        <v>307.7115</v>
      </c>
      <c r="J156" s="28">
        <f>SUM(J154:J155)</f>
        <v>200.44569999999993</v>
      </c>
      <c r="K156" s="28">
        <f>SUM(K154:K155)</f>
        <v>448.08010000000036</v>
      </c>
      <c r="L156" s="28">
        <f>SUM(L154:L155)</f>
        <v>0</v>
      </c>
      <c r="M156" s="28">
        <f t="shared" ref="M156:R156" si="121">SUM(M154:M155)</f>
        <v>452.55758626068166</v>
      </c>
      <c r="N156" s="28">
        <f t="shared" si="121"/>
        <v>513.53663211618721</v>
      </c>
      <c r="O156" s="28">
        <f t="shared" si="121"/>
        <v>495.34879462158653</v>
      </c>
      <c r="P156" s="28">
        <f t="shared" si="121"/>
        <v>450.20302853048941</v>
      </c>
      <c r="Q156" s="28">
        <f t="shared" ca="1" si="121"/>
        <v>474.16806772613779</v>
      </c>
      <c r="R156" s="28">
        <f t="shared" ca="1" si="121"/>
        <v>513.97286526891025</v>
      </c>
      <c r="S156" s="28">
        <f ca="1">SUM(S154:S155)</f>
        <v>499.60733031595555</v>
      </c>
      <c r="T156" s="28">
        <f ca="1">SUM(T154:T155)</f>
        <v>590.9485717317001</v>
      </c>
      <c r="U156" s="28">
        <f ca="1">SUM(U154:U155)</f>
        <v>703.17534267030112</v>
      </c>
      <c r="V156" s="28">
        <f ca="1">SUM(V154:V155)</f>
        <v>764.61545908454673</v>
      </c>
    </row>
    <row r="157" spans="1:27" x14ac:dyDescent="0.3">
      <c r="A157"/>
      <c r="B157"/>
      <c r="C157"/>
      <c r="D157" t="s">
        <v>193</v>
      </c>
      <c r="F157" t="s">
        <v>239</v>
      </c>
      <c r="H157" s="46">
        <f>-I122</f>
        <v>131.1122</v>
      </c>
      <c r="I157" s="46">
        <f>-J122</f>
        <v>146.59769999999997</v>
      </c>
      <c r="J157" s="46">
        <f>-K122</f>
        <v>331.91049999999996</v>
      </c>
      <c r="K157" s="46">
        <f>-L122</f>
        <v>365.2867</v>
      </c>
      <c r="M157" s="29">
        <f t="shared" ref="M157:V157" si="122">-M122</f>
        <v>394.00280673921958</v>
      </c>
      <c r="N157" s="29">
        <f t="shared" si="122"/>
        <v>423.76073404824388</v>
      </c>
      <c r="O157" s="29">
        <f t="shared" si="122"/>
        <v>565.05525036232211</v>
      </c>
      <c r="P157" s="29">
        <f t="shared" si="122"/>
        <v>738.31649720833627</v>
      </c>
      <c r="Q157" s="29">
        <f t="shared" si="122"/>
        <v>820.06282098389147</v>
      </c>
      <c r="R157" s="29">
        <f t="shared" si="122"/>
        <v>873.0521365594326</v>
      </c>
      <c r="S157" s="29">
        <f t="shared" si="122"/>
        <v>1001.0145971383972</v>
      </c>
      <c r="T157" s="29">
        <f t="shared" si="122"/>
        <v>974.63659248713407</v>
      </c>
      <c r="U157" s="29">
        <f t="shared" si="122"/>
        <v>919.29667858711082</v>
      </c>
      <c r="V157" s="29">
        <f t="shared" si="122"/>
        <v>922.06081397320395</v>
      </c>
    </row>
    <row r="158" spans="1:27" x14ac:dyDescent="0.3">
      <c r="A158"/>
      <c r="B158"/>
      <c r="C158"/>
      <c r="D158" t="s">
        <v>241</v>
      </c>
      <c r="F158" t="s">
        <v>239</v>
      </c>
      <c r="H158" s="46">
        <f>-I121</f>
        <v>-96.080399999999912</v>
      </c>
      <c r="I158" s="46">
        <f>-J121</f>
        <v>-669.75499999999988</v>
      </c>
      <c r="J158" s="46">
        <f>-K121</f>
        <v>-1336.0758000000001</v>
      </c>
      <c r="K158" s="46">
        <f>-L121</f>
        <v>-554.00249999999994</v>
      </c>
      <c r="M158" s="29">
        <f t="shared" ref="M158:V158" si="123">-M121</f>
        <v>-589.56521739130437</v>
      </c>
      <c r="N158" s="29">
        <f t="shared" si="123"/>
        <v>-1352.3165415598066</v>
      </c>
      <c r="O158" s="29">
        <f t="shared" si="123"/>
        <v>-1140.040965015686</v>
      </c>
      <c r="P158" s="29">
        <f t="shared" si="123"/>
        <v>-1213.1278904667249</v>
      </c>
      <c r="Q158" s="29">
        <f t="shared" si="123"/>
        <v>-1127.8433986807051</v>
      </c>
      <c r="R158" s="29">
        <f t="shared" si="123"/>
        <v>-1011.1754277451022</v>
      </c>
      <c r="S158" s="29">
        <f t="shared" si="123"/>
        <v>-863.74775272616057</v>
      </c>
      <c r="T158" s="29">
        <f t="shared" si="123"/>
        <v>-686.65668454753688</v>
      </c>
      <c r="U158" s="29">
        <f t="shared" si="123"/>
        <v>-481.36919829239537</v>
      </c>
      <c r="V158" s="29">
        <f t="shared" si="123"/>
        <v>-249.62535703098632</v>
      </c>
    </row>
    <row r="159" spans="1:27" x14ac:dyDescent="0.3">
      <c r="A159"/>
      <c r="B159"/>
      <c r="C159"/>
      <c r="D159" t="str">
        <f>D84</f>
        <v>(+/-) Change In Working Capital</v>
      </c>
      <c r="F159" t="s">
        <v>239</v>
      </c>
      <c r="H159" s="46">
        <f>I84</f>
        <v>-41.652000000000001</v>
      </c>
      <c r="I159" s="46">
        <f>J84</f>
        <v>4.0785999999999802</v>
      </c>
      <c r="J159" s="46">
        <f>K84</f>
        <v>-222.57470000000001</v>
      </c>
      <c r="K159" s="46">
        <f>L84</f>
        <v>-75.245799999999974</v>
      </c>
      <c r="M159" s="29">
        <f t="shared" ref="M159:V159" si="124">M84</f>
        <v>69.653182658841757</v>
      </c>
      <c r="N159" s="29">
        <f t="shared" si="124"/>
        <v>-44.505994728915397</v>
      </c>
      <c r="O159" s="29">
        <f t="shared" si="124"/>
        <v>-44.741876500978748</v>
      </c>
      <c r="P159" s="29">
        <f t="shared" si="124"/>
        <v>-44.507876486878615</v>
      </c>
      <c r="Q159" s="29">
        <f t="shared" si="124"/>
        <v>-43.853299147386224</v>
      </c>
      <c r="R159" s="29">
        <f t="shared" si="124"/>
        <v>-42.834310732407801</v>
      </c>
      <c r="S159" s="29">
        <f t="shared" si="124"/>
        <v>-41.51018782005923</v>
      </c>
      <c r="T159" s="29">
        <f t="shared" si="124"/>
        <v>-39.940214277911082</v>
      </c>
      <c r="U159" s="29">
        <f t="shared" si="124"/>
        <v>-38.181276689031961</v>
      </c>
      <c r="V159" s="29">
        <f t="shared" si="124"/>
        <v>-36.286136175244849</v>
      </c>
    </row>
    <row r="160" spans="1:27" x14ac:dyDescent="0.3">
      <c r="A160"/>
      <c r="B160"/>
      <c r="C160"/>
      <c r="D160" s="18" t="s">
        <v>194</v>
      </c>
      <c r="E160" s="18"/>
      <c r="F160" s="18" t="s">
        <v>239</v>
      </c>
      <c r="G160" s="18"/>
      <c r="H160" s="101">
        <f>SUM(H156:H159)</f>
        <v>250.67890000000006</v>
      </c>
      <c r="I160" s="101">
        <f>SUM(I156:I159)</f>
        <v>-211.36719999999991</v>
      </c>
      <c r="J160" s="101">
        <f>SUM(J156:J159)</f>
        <v>-1026.2943</v>
      </c>
      <c r="K160" s="101">
        <f>SUM(K156:K159)</f>
        <v>184.11850000000044</v>
      </c>
      <c r="L160" s="18"/>
      <c r="M160" s="101">
        <f t="shared" ref="M160:R160" si="125">SUM(M156:M159)</f>
        <v>326.64835826743865</v>
      </c>
      <c r="N160" s="101">
        <f t="shared" si="125"/>
        <v>-459.52517012429098</v>
      </c>
      <c r="O160" s="101">
        <f t="shared" si="125"/>
        <v>-124.37879653275618</v>
      </c>
      <c r="P160" s="101">
        <f t="shared" si="125"/>
        <v>-69.116241214777858</v>
      </c>
      <c r="Q160" s="101">
        <f t="shared" ca="1" si="125"/>
        <v>122.534190881938</v>
      </c>
      <c r="R160" s="101">
        <f t="shared" ca="1" si="125"/>
        <v>333.01526335083275</v>
      </c>
      <c r="S160" s="101">
        <f ca="1">SUM(S156:S159)</f>
        <v>595.36398690813303</v>
      </c>
      <c r="T160" s="101">
        <f ca="1">SUM(T156:T159)</f>
        <v>838.98826539338609</v>
      </c>
      <c r="U160" s="101">
        <f ca="1">SUM(U156:U159)</f>
        <v>1102.9215462759848</v>
      </c>
      <c r="V160" s="101">
        <f ca="1">SUM(V156:V159)</f>
        <v>1400.7647798515195</v>
      </c>
      <c r="W160" s="102">
        <f ca="1">AA151</f>
        <v>26049.70642930131</v>
      </c>
    </row>
    <row r="162" spans="1:23" x14ac:dyDescent="0.3">
      <c r="A162"/>
      <c r="B162"/>
      <c r="C162"/>
      <c r="D162" s="2" t="s">
        <v>195</v>
      </c>
      <c r="E162" s="2"/>
      <c r="F162" s="2"/>
      <c r="G162" s="2"/>
      <c r="H162" s="2"/>
      <c r="I162" s="2"/>
      <c r="J162" s="2"/>
      <c r="K162" s="2"/>
      <c r="L162" s="2">
        <v>0</v>
      </c>
      <c r="M162" s="2">
        <f t="shared" ref="M162:U162" si="126">M160*M151</f>
        <v>213.22878942457803</v>
      </c>
      <c r="N162" s="2">
        <f t="shared" si="126"/>
        <v>-459.52517012429098</v>
      </c>
      <c r="O162" s="2">
        <f t="shared" si="126"/>
        <v>-124.37879653275618</v>
      </c>
      <c r="P162" s="2">
        <f t="shared" si="126"/>
        <v>-69.116241214777858</v>
      </c>
      <c r="Q162" s="2">
        <f t="shared" ca="1" si="126"/>
        <v>122.534190881938</v>
      </c>
      <c r="R162" s="2">
        <f t="shared" ca="1" si="126"/>
        <v>333.01526335083275</v>
      </c>
      <c r="S162" s="2">
        <f t="shared" ca="1" si="126"/>
        <v>595.36398690813303</v>
      </c>
      <c r="T162" s="2">
        <f t="shared" ca="1" si="126"/>
        <v>838.98826539338609</v>
      </c>
      <c r="U162" s="2">
        <f t="shared" ca="1" si="126"/>
        <v>1102.9215462759848</v>
      </c>
      <c r="V162" s="2">
        <f ca="1">V160*V151</f>
        <v>1400.7647798515195</v>
      </c>
      <c r="W162" s="2">
        <f ca="1">W160*W151</f>
        <v>26049.70642930131</v>
      </c>
    </row>
    <row r="164" spans="1:23" x14ac:dyDescent="0.3">
      <c r="A164"/>
      <c r="B164"/>
      <c r="C164"/>
      <c r="E164" s="60"/>
    </row>
    <row r="165" spans="1:23" x14ac:dyDescent="0.3">
      <c r="E165" s="60"/>
    </row>
    <row r="166" spans="1:23" x14ac:dyDescent="0.3">
      <c r="D166" s="63" t="s">
        <v>196</v>
      </c>
      <c r="E166" s="70"/>
      <c r="H166" s="63" t="s">
        <v>197</v>
      </c>
      <c r="I166" s="70"/>
      <c r="J166" s="70"/>
      <c r="L166" s="63" t="s">
        <v>198</v>
      </c>
      <c r="M166" s="70"/>
      <c r="N166" s="70"/>
    </row>
    <row r="167" spans="1:23" x14ac:dyDescent="0.3">
      <c r="D167" t="s">
        <v>199</v>
      </c>
      <c r="E167" s="60">
        <f ca="1">XNPV(E141,L162:W162,L149:W149)</f>
        <v>11332.523210374158</v>
      </c>
      <c r="H167" t="s">
        <v>157</v>
      </c>
      <c r="J167" s="60">
        <f>Comps!J19</f>
        <v>8041.1548000000003</v>
      </c>
      <c r="L167" t="s">
        <v>200</v>
      </c>
      <c r="M167" s="60">
        <f>J173</f>
        <v>198.94</v>
      </c>
    </row>
    <row r="168" spans="1:23" x14ac:dyDescent="0.3">
      <c r="D168" t="s">
        <v>201</v>
      </c>
      <c r="E168" s="29">
        <f>L43+L44+L48</f>
        <v>312.93380000000002</v>
      </c>
      <c r="H168" t="s">
        <v>202</v>
      </c>
      <c r="J168" s="29">
        <f>-E169</f>
        <v>493.18610000000001</v>
      </c>
      <c r="L168" t="s">
        <v>203</v>
      </c>
      <c r="M168" s="60">
        <f ca="1">E173</f>
        <v>275.98694978659472</v>
      </c>
    </row>
    <row r="169" spans="1:23" x14ac:dyDescent="0.3">
      <c r="D169" t="s">
        <v>204</v>
      </c>
      <c r="E169" s="29">
        <f>-L65</f>
        <v>-493.18610000000001</v>
      </c>
      <c r="H169" t="s">
        <v>205</v>
      </c>
      <c r="J169" s="29">
        <f>E170</f>
        <v>3.1216000000000004</v>
      </c>
      <c r="L169" t="s">
        <v>206</v>
      </c>
      <c r="M169" s="36">
        <f ca="1">M168/M167-1</f>
        <v>0.38728737200459795</v>
      </c>
    </row>
    <row r="170" spans="1:23" x14ac:dyDescent="0.3">
      <c r="D170" t="s">
        <v>207</v>
      </c>
      <c r="E170" s="29">
        <f>-L74</f>
        <v>3.1216000000000004</v>
      </c>
      <c r="H170" t="s">
        <v>208</v>
      </c>
      <c r="J170" s="29">
        <f>-E168</f>
        <v>-312.93380000000002</v>
      </c>
      <c r="M170" s="36"/>
    </row>
    <row r="171" spans="1:23" x14ac:dyDescent="0.3">
      <c r="D171" t="s">
        <v>171</v>
      </c>
      <c r="E171" s="72">
        <f ca="1">SUM(E167:E170)</f>
        <v>11155.392510374159</v>
      </c>
      <c r="H171" t="s">
        <v>209</v>
      </c>
      <c r="J171" s="60">
        <f>SUM(J167:J170)</f>
        <v>8224.5287000000008</v>
      </c>
    </row>
    <row r="173" spans="1:23" x14ac:dyDescent="0.3">
      <c r="D173" t="s">
        <v>210</v>
      </c>
      <c r="E173" s="60">
        <f ca="1">E171/E142</f>
        <v>275.98694978659472</v>
      </c>
      <c r="H173" t="s">
        <v>210</v>
      </c>
      <c r="J173" s="60">
        <f>J167/E142</f>
        <v>198.94</v>
      </c>
    </row>
    <row r="176" spans="1:23" ht="21" x14ac:dyDescent="0.4">
      <c r="A176" s="97" t="s">
        <v>211</v>
      </c>
      <c r="B176" s="98"/>
      <c r="C176" s="98"/>
      <c r="D176" s="99"/>
      <c r="E176" s="99"/>
      <c r="F176" s="99"/>
      <c r="G176" s="99"/>
      <c r="H176" s="99"/>
      <c r="I176" s="99"/>
      <c r="J176" s="99"/>
      <c r="K176" s="99"/>
      <c r="L176" s="99"/>
      <c r="M176" s="99"/>
      <c r="N176" s="99"/>
      <c r="O176" s="99"/>
      <c r="P176" s="99"/>
      <c r="Q176" s="99"/>
    </row>
    <row r="178" spans="1:14" ht="15.6" x14ac:dyDescent="0.3">
      <c r="A178" s="95"/>
      <c r="B178" s="95"/>
      <c r="C178" s="95"/>
      <c r="D178" s="96"/>
      <c r="E178" s="96"/>
      <c r="F178" s="96"/>
      <c r="H178" s="100" t="s">
        <v>212</v>
      </c>
      <c r="I178" s="100"/>
      <c r="J178" s="100"/>
      <c r="K178" s="100"/>
      <c r="L178" s="100"/>
      <c r="M178" s="100"/>
      <c r="N178" s="100"/>
    </row>
    <row r="179" spans="1:14" x14ac:dyDescent="0.3">
      <c r="A179" s="95"/>
      <c r="B179" s="95"/>
      <c r="C179" s="95"/>
      <c r="D179" s="96"/>
      <c r="E179" s="96"/>
      <c r="F179" s="96"/>
    </row>
    <row r="180" spans="1:14" x14ac:dyDescent="0.3">
      <c r="A180" s="95"/>
      <c r="B180" s="95"/>
      <c r="C180" s="95"/>
      <c r="D180" s="96"/>
      <c r="E180" s="96"/>
      <c r="F180" s="96"/>
      <c r="J180" s="73" t="s">
        <v>213</v>
      </c>
      <c r="K180" s="74"/>
      <c r="L180" s="74"/>
      <c r="M180" s="74"/>
      <c r="N180" s="74"/>
    </row>
    <row r="181" spans="1:14" x14ac:dyDescent="0.3">
      <c r="A181" s="95"/>
      <c r="B181" s="95"/>
      <c r="C181" s="95"/>
      <c r="D181" s="96"/>
      <c r="E181" s="96"/>
      <c r="F181" s="96"/>
      <c r="I181" s="75">
        <f ca="1">E173</f>
        <v>275.98694978659472</v>
      </c>
      <c r="J181" s="76">
        <v>10</v>
      </c>
      <c r="K181" s="76">
        <v>12</v>
      </c>
      <c r="L181" s="76">
        <v>15.429841444143783</v>
      </c>
      <c r="M181" s="76">
        <v>18</v>
      </c>
      <c r="N181" s="76">
        <v>22</v>
      </c>
    </row>
    <row r="182" spans="1:14" x14ac:dyDescent="0.3">
      <c r="A182" s="95"/>
      <c r="B182" s="95"/>
      <c r="C182" s="95"/>
      <c r="D182" s="96"/>
      <c r="E182" s="96"/>
      <c r="F182" s="96"/>
      <c r="H182" s="274" t="s">
        <v>183</v>
      </c>
      <c r="I182" s="77">
        <v>0.09</v>
      </c>
      <c r="J182">
        <f t="dataTable" ref="J182:N186" dt2D="1" dtr="1" r1="E139" r2="E141" ca="1"/>
        <v>304.22018801816512</v>
      </c>
      <c r="K182">
        <v>325.46503654834322</v>
      </c>
      <c r="L182">
        <v>361.8982675300241</v>
      </c>
      <c r="M182">
        <v>389.19958213887742</v>
      </c>
      <c r="N182">
        <v>431.68927919923357</v>
      </c>
    </row>
    <row r="183" spans="1:14" x14ac:dyDescent="0.3">
      <c r="A183" s="95"/>
      <c r="B183" s="95"/>
      <c r="C183" s="95"/>
      <c r="D183" s="96"/>
      <c r="E183" s="96"/>
      <c r="F183" s="96"/>
      <c r="H183" s="274"/>
      <c r="I183" s="77">
        <v>0.1</v>
      </c>
      <c r="J183">
        <v>254.49588469326878</v>
      </c>
      <c r="K183" s="78">
        <v>273.94724820627096</v>
      </c>
      <c r="L183" s="78">
        <v>307.30479456727164</v>
      </c>
      <c r="M183" s="78">
        <v>332.30133874527775</v>
      </c>
      <c r="N183">
        <v>371.20406577128222</v>
      </c>
    </row>
    <row r="184" spans="1:14" x14ac:dyDescent="0.3">
      <c r="A184" s="95"/>
      <c r="B184" s="95"/>
      <c r="C184" s="95"/>
      <c r="D184" s="96"/>
      <c r="E184" s="96"/>
      <c r="F184" s="96"/>
      <c r="H184" s="274"/>
      <c r="I184" s="77">
        <v>0.1073059467481603</v>
      </c>
      <c r="J184">
        <v>226.44851253045076</v>
      </c>
      <c r="K184" s="78">
        <v>244.69524690225177</v>
      </c>
      <c r="L184" s="79">
        <v>275.98694978659472</v>
      </c>
      <c r="M184" s="78">
        <v>299.43545001765472</v>
      </c>
      <c r="N184">
        <v>335.92891876125663</v>
      </c>
    </row>
    <row r="185" spans="1:14" x14ac:dyDescent="0.3">
      <c r="A185" s="95"/>
      <c r="B185" s="95"/>
      <c r="C185" s="95"/>
      <c r="D185" s="96"/>
      <c r="E185" s="96"/>
      <c r="F185" s="96"/>
      <c r="H185" s="274"/>
      <c r="I185" s="77">
        <v>0.12</v>
      </c>
      <c r="J185">
        <v>188.41188285679377</v>
      </c>
      <c r="K185" s="78">
        <v>204.75656898617063</v>
      </c>
      <c r="L185" s="78">
        <v>232.78640992520005</v>
      </c>
      <c r="M185" s="78">
        <v>253.79062737430124</v>
      </c>
      <c r="N185">
        <v>286.47999963305494</v>
      </c>
    </row>
    <row r="186" spans="1:14" x14ac:dyDescent="0.3">
      <c r="A186" s="95"/>
      <c r="B186" s="95"/>
      <c r="C186" s="95"/>
      <c r="D186" s="96"/>
      <c r="E186" s="96"/>
      <c r="F186" s="96"/>
      <c r="H186" s="274"/>
      <c r="I186" s="77">
        <v>0.13</v>
      </c>
      <c r="J186">
        <v>165.02797057462246</v>
      </c>
      <c r="K186">
        <v>180.02808040411085</v>
      </c>
      <c r="L186">
        <v>205.75207958405477</v>
      </c>
      <c r="M186">
        <v>225.02840989257604</v>
      </c>
      <c r="N186">
        <v>255.02862955155277</v>
      </c>
    </row>
    <row r="187" spans="1:14" x14ac:dyDescent="0.3">
      <c r="A187" s="95"/>
      <c r="B187" s="95"/>
      <c r="C187" s="95"/>
      <c r="D187" s="96"/>
      <c r="E187" s="96"/>
      <c r="F187" s="96"/>
    </row>
    <row r="188" spans="1:14" x14ac:dyDescent="0.3">
      <c r="A188" s="95"/>
      <c r="B188" s="95"/>
      <c r="C188" s="95"/>
      <c r="D188" s="96"/>
      <c r="E188" s="96"/>
      <c r="F188" s="96"/>
    </row>
    <row r="189" spans="1:14" x14ac:dyDescent="0.3">
      <c r="A189" s="95"/>
      <c r="B189" s="95"/>
      <c r="C189" s="95"/>
      <c r="D189" s="96"/>
      <c r="E189" s="96"/>
      <c r="F189" s="96"/>
      <c r="J189" s="73" t="s">
        <v>182</v>
      </c>
      <c r="K189" s="74"/>
      <c r="L189" s="74"/>
      <c r="M189" s="74"/>
      <c r="N189" s="74"/>
    </row>
    <row r="190" spans="1:14" x14ac:dyDescent="0.3">
      <c r="A190" s="95"/>
      <c r="B190" s="95"/>
      <c r="C190" s="95"/>
      <c r="D190" s="96"/>
      <c r="E190" s="96"/>
      <c r="F190" s="96"/>
      <c r="I190" s="75">
        <f ca="1">E173</f>
        <v>275.98694978659472</v>
      </c>
      <c r="J190" s="80">
        <v>0.03</v>
      </c>
      <c r="K190" s="80">
        <v>3.5000000000000003E-2</v>
      </c>
      <c r="L190" s="80">
        <v>0.04</v>
      </c>
      <c r="M190" s="80">
        <v>4.4999999999999998E-2</v>
      </c>
      <c r="N190" s="80">
        <v>0.05</v>
      </c>
    </row>
    <row r="191" spans="1:14" x14ac:dyDescent="0.3">
      <c r="A191" s="95"/>
      <c r="B191" s="95"/>
      <c r="C191" s="95"/>
      <c r="D191" s="96"/>
      <c r="E191" s="96"/>
      <c r="F191" s="96"/>
      <c r="H191" s="274" t="s">
        <v>183</v>
      </c>
      <c r="I191" s="77">
        <v>0.09</v>
      </c>
      <c r="J191">
        <f t="dataTable" ref="J191:N195" dt2D="1" dtr="1" r1="E140" r2="E141" ca="1"/>
        <v>334.5079878824032</v>
      </c>
      <c r="K191">
        <v>346.95811499495818</v>
      </c>
      <c r="L191">
        <v>361.8982675300241</v>
      </c>
      <c r="M191">
        <v>380.15845396177139</v>
      </c>
      <c r="N191">
        <v>402.98368700145545</v>
      </c>
    </row>
    <row r="192" spans="1:14" x14ac:dyDescent="0.3">
      <c r="A192" s="95"/>
      <c r="B192" s="95"/>
      <c r="C192" s="95"/>
      <c r="D192" s="96"/>
      <c r="E192" s="96"/>
      <c r="F192" s="96"/>
      <c r="H192" s="274"/>
      <c r="I192" s="77">
        <v>0.1</v>
      </c>
      <c r="J192">
        <v>289.22760014361904</v>
      </c>
      <c r="K192" s="78">
        <v>297.57092064684326</v>
      </c>
      <c r="L192" s="78">
        <v>307.30479456727164</v>
      </c>
      <c r="M192" s="78">
        <v>318.80846374595961</v>
      </c>
      <c r="N192">
        <v>332.61286676038526</v>
      </c>
    </row>
    <row r="193" spans="1:14" x14ac:dyDescent="0.3">
      <c r="A193" s="95"/>
      <c r="B193" s="95"/>
      <c r="C193" s="95"/>
      <c r="D193" s="96"/>
      <c r="E193" s="96"/>
      <c r="F193" s="96"/>
      <c r="H193" s="274"/>
      <c r="I193" s="77">
        <v>0.1073059467481603</v>
      </c>
      <c r="J193">
        <v>262.20774910299542</v>
      </c>
      <c r="K193" s="78">
        <v>268.62092940940045</v>
      </c>
      <c r="L193" s="79">
        <v>275.98694978659472</v>
      </c>
      <c r="M193" s="78">
        <v>284.53520408553118</v>
      </c>
      <c r="N193">
        <v>294.57514551015163</v>
      </c>
    </row>
    <row r="194" spans="1:14" x14ac:dyDescent="0.3">
      <c r="A194" s="95"/>
      <c r="B194" s="95"/>
      <c r="C194" s="95"/>
      <c r="D194" s="96"/>
      <c r="E194" s="96"/>
      <c r="F194" s="96"/>
      <c r="H194" s="274"/>
      <c r="I194" s="77">
        <v>0.12</v>
      </c>
      <c r="J194">
        <v>223.76447489184974</v>
      </c>
      <c r="K194" s="78">
        <v>228.01009137813224</v>
      </c>
      <c r="L194" s="78">
        <v>232.78640992520005</v>
      </c>
      <c r="M194" s="78">
        <v>238.19957094521018</v>
      </c>
      <c r="N194">
        <v>244.38604068236469</v>
      </c>
    </row>
    <row r="195" spans="1:14" x14ac:dyDescent="0.3">
      <c r="A195" s="95"/>
      <c r="B195" s="95"/>
      <c r="C195" s="95"/>
      <c r="D195" s="96"/>
      <c r="E195" s="96"/>
      <c r="F195" s="96"/>
      <c r="H195" s="274"/>
      <c r="I195" s="77">
        <v>0.13</v>
      </c>
      <c r="J195">
        <v>199.06913350547623</v>
      </c>
      <c r="K195">
        <v>202.23473954269764</v>
      </c>
      <c r="L195">
        <v>205.75207958405477</v>
      </c>
      <c r="M195">
        <v>209.68322433615975</v>
      </c>
      <c r="N195">
        <v>214.10576218227789</v>
      </c>
    </row>
    <row r="196" spans="1:14" x14ac:dyDescent="0.3">
      <c r="A196" s="95"/>
      <c r="B196" s="95"/>
      <c r="C196" s="95"/>
      <c r="D196" s="96"/>
      <c r="E196" s="96"/>
      <c r="F196" s="96"/>
      <c r="H196" s="81"/>
    </row>
  </sheetData>
  <mergeCells count="2">
    <mergeCell ref="H182:H186"/>
    <mergeCell ref="H191:H195"/>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7D0C376F-FD05-455E-A454-C918DA4E1EA9}">
          <x14:formula1>
            <xm:f>'Scenario Analysis'!$D$5:$D$7</xm:f>
          </x14:formula1>
          <xm:sqref>E6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4E56A-7D8A-4CD5-8912-C5D87D713459}">
  <dimension ref="A1:X46"/>
  <sheetViews>
    <sheetView showGridLines="0" zoomScale="75" workbookViewId="0">
      <pane xSplit="4" ySplit="2" topLeftCell="X14" activePane="bottomRight" state="frozen"/>
      <selection pane="topRight" activeCell="E1" sqref="E1"/>
      <selection pane="bottomLeft" activeCell="A3" sqref="A3"/>
      <selection pane="bottomRight" activeCell="X18" sqref="X18"/>
    </sheetView>
  </sheetViews>
  <sheetFormatPr defaultColWidth="11.77734375" defaultRowHeight="14.4" x14ac:dyDescent="0.3"/>
  <cols>
    <col min="1" max="3" width="1.33203125" customWidth="1"/>
    <col min="4" max="4" width="40.77734375" customWidth="1"/>
    <col min="5" max="5" width="12.77734375" customWidth="1"/>
    <col min="6" max="6" width="2.77734375" customWidth="1"/>
    <col min="22" max="22" width="19.5546875" customWidth="1"/>
    <col min="24" max="24" width="154.44140625" customWidth="1"/>
  </cols>
  <sheetData>
    <row r="1" spans="1:24" ht="32.4" x14ac:dyDescent="0.6">
      <c r="A1" s="3" t="s">
        <v>408</v>
      </c>
      <c r="B1" s="4"/>
      <c r="C1" s="4"/>
      <c r="D1" s="5"/>
      <c r="E1" s="5"/>
      <c r="F1" s="5"/>
      <c r="G1" s="7" t="s">
        <v>27</v>
      </c>
      <c r="H1" s="8"/>
      <c r="I1" s="8"/>
      <c r="J1" s="8"/>
      <c r="K1" s="8"/>
      <c r="L1" s="11" t="s">
        <v>28</v>
      </c>
      <c r="M1" s="9"/>
      <c r="N1" s="9"/>
      <c r="O1" s="9"/>
      <c r="P1" s="9"/>
      <c r="Q1" s="9"/>
      <c r="R1" s="9"/>
      <c r="S1" s="9"/>
      <c r="T1" s="9"/>
      <c r="U1" s="9"/>
      <c r="V1" s="9"/>
      <c r="X1" s="275" t="s">
        <v>353</v>
      </c>
    </row>
    <row r="2" spans="1:24" ht="19.8" customHeight="1" x14ac:dyDescent="0.4">
      <c r="A2" s="12" t="s">
        <v>279</v>
      </c>
      <c r="B2" s="13"/>
      <c r="C2" s="13"/>
      <c r="D2" s="6"/>
      <c r="E2" s="6"/>
      <c r="F2" s="6"/>
      <c r="G2" s="20">
        <v>2022</v>
      </c>
      <c r="H2" s="20">
        <f t="shared" ref="H2:U2" si="0">G2+1</f>
        <v>2023</v>
      </c>
      <c r="I2" s="20">
        <f t="shared" si="0"/>
        <v>2024</v>
      </c>
      <c r="J2" s="20">
        <f>I2+1</f>
        <v>2025</v>
      </c>
      <c r="K2" s="20">
        <f>J2+1</f>
        <v>2026</v>
      </c>
      <c r="L2" s="21">
        <v>2027</v>
      </c>
      <c r="M2" s="22">
        <f t="shared" si="0"/>
        <v>2028</v>
      </c>
      <c r="N2" s="22">
        <f t="shared" si="0"/>
        <v>2029</v>
      </c>
      <c r="O2" s="22">
        <f t="shared" si="0"/>
        <v>2030</v>
      </c>
      <c r="P2" s="22">
        <f t="shared" si="0"/>
        <v>2031</v>
      </c>
      <c r="Q2" s="22">
        <f t="shared" si="0"/>
        <v>2032</v>
      </c>
      <c r="R2" s="22">
        <f t="shared" si="0"/>
        <v>2033</v>
      </c>
      <c r="S2" s="22">
        <f t="shared" si="0"/>
        <v>2034</v>
      </c>
      <c r="T2" s="22">
        <f t="shared" si="0"/>
        <v>2035</v>
      </c>
      <c r="U2" s="22">
        <f t="shared" si="0"/>
        <v>2036</v>
      </c>
      <c r="V2" s="22" t="s">
        <v>312</v>
      </c>
      <c r="X2" s="275"/>
    </row>
    <row r="3" spans="1:24" ht="14.4" customHeight="1" thickBot="1" x14ac:dyDescent="0.35">
      <c r="E3" s="171"/>
      <c r="X3" s="275"/>
    </row>
    <row r="4" spans="1:24" ht="18" customHeight="1" x14ac:dyDescent="0.35">
      <c r="D4" s="172" t="s">
        <v>19</v>
      </c>
      <c r="E4" s="168"/>
      <c r="F4" s="168"/>
      <c r="G4" s="168"/>
      <c r="H4" s="168"/>
      <c r="I4" s="168"/>
      <c r="J4" s="168"/>
      <c r="K4" s="168"/>
      <c r="L4" s="168"/>
      <c r="M4" s="168"/>
      <c r="N4" s="168"/>
      <c r="O4" s="168"/>
      <c r="P4" s="168"/>
      <c r="Q4" s="168"/>
      <c r="R4" s="168"/>
      <c r="S4" s="168"/>
      <c r="T4" s="168"/>
      <c r="U4" s="168"/>
      <c r="V4" s="169"/>
      <c r="X4" s="204"/>
    </row>
    <row r="5" spans="1:24" x14ac:dyDescent="0.3">
      <c r="D5" s="173" t="s">
        <v>280</v>
      </c>
      <c r="G5" s="207"/>
      <c r="H5" s="207"/>
      <c r="I5" s="207"/>
      <c r="J5" s="207"/>
      <c r="K5" s="207"/>
      <c r="L5" s="207"/>
      <c r="M5" s="207"/>
      <c r="N5" s="207"/>
      <c r="O5" s="207"/>
      <c r="P5" s="207"/>
      <c r="Q5" s="207"/>
      <c r="R5" s="207"/>
      <c r="S5" s="207"/>
      <c r="T5" s="207"/>
      <c r="U5" s="207"/>
      <c r="V5" s="170"/>
      <c r="X5" s="205"/>
    </row>
    <row r="6" spans="1:24" ht="52.2" customHeight="1" x14ac:dyDescent="0.3">
      <c r="D6" s="182" t="s">
        <v>281</v>
      </c>
      <c r="E6" s="177"/>
      <c r="F6" s="177"/>
      <c r="G6" s="178">
        <f>Model!H25/Model!H23</f>
        <v>0.75814289230618059</v>
      </c>
      <c r="H6" s="178">
        <f>Model!I25/Model!I23</f>
        <v>0.76655565548556837</v>
      </c>
      <c r="I6" s="178">
        <f>Model!J25/Model!J23</f>
        <v>0.84238751663953026</v>
      </c>
      <c r="J6" s="178">
        <f>Model!K25/Model!K23</f>
        <v>0.82161083690591941</v>
      </c>
      <c r="K6" s="178">
        <f>Model!L25/Model!L23</f>
        <v>0.86931601521934465</v>
      </c>
      <c r="L6" s="178">
        <f>Model!M25/Model!M23</f>
        <v>0.84443812292159803</v>
      </c>
      <c r="M6" s="178">
        <f>Model!N25/Model!N23</f>
        <v>0.84443812292159814</v>
      </c>
      <c r="N6" s="178">
        <f>Model!O25/Model!O23</f>
        <v>0.84443812292159814</v>
      </c>
      <c r="O6" s="178">
        <f>Model!P25/Model!P23</f>
        <v>0.84443812292159814</v>
      </c>
      <c r="P6" s="178">
        <f>Model!Q25/Model!Q23</f>
        <v>0.84443812292159814</v>
      </c>
      <c r="Q6" s="178">
        <f>Model!R25/Model!R23</f>
        <v>0.84443812292159814</v>
      </c>
      <c r="R6" s="178">
        <f>Model!S25/Model!S23</f>
        <v>0.84443812292159814</v>
      </c>
      <c r="S6" s="178">
        <f>Model!T25/Model!T23</f>
        <v>0.84443812292159803</v>
      </c>
      <c r="T6" s="178">
        <f>Model!U25/Model!U23</f>
        <v>0.84443812292159814</v>
      </c>
      <c r="U6" s="178">
        <f>Model!V25/Model!V23</f>
        <v>0.84443812292159814</v>
      </c>
      <c r="V6" s="183"/>
      <c r="X6" s="211" t="s">
        <v>591</v>
      </c>
    </row>
    <row r="7" spans="1:24" ht="52.2" customHeight="1" x14ac:dyDescent="0.3">
      <c r="D7" s="174" t="s">
        <v>282</v>
      </c>
      <c r="G7" s="208">
        <f>Model!H29/Model!H23</f>
        <v>0.16788970440504208</v>
      </c>
      <c r="H7" s="208">
        <f>Model!I29/Model!I23</f>
        <v>0.18878781630070701</v>
      </c>
      <c r="I7" s="208">
        <f>Model!J29/Model!J23</f>
        <v>0.19841732013288338</v>
      </c>
      <c r="J7" s="208">
        <f>Model!K29/Model!K23</f>
        <v>0.18563795973189715</v>
      </c>
      <c r="K7" s="208">
        <f>Model!L29/Model!L23</f>
        <v>0.25165320502556005</v>
      </c>
      <c r="L7" s="208">
        <f>Model!M29/Model!M23</f>
        <v>0.23131274072950733</v>
      </c>
      <c r="M7" s="208">
        <f>Model!N29/Model!N23</f>
        <v>0.23131274072950736</v>
      </c>
      <c r="N7" s="208">
        <f>Model!O29/Model!O23</f>
        <v>0.23131274072950744</v>
      </c>
      <c r="O7" s="208">
        <f>Model!P29/Model!P23</f>
        <v>0.2313127407295075</v>
      </c>
      <c r="P7" s="208">
        <f>Model!Q29/Model!Q23</f>
        <v>0.23131274072950742</v>
      </c>
      <c r="Q7" s="208">
        <f>Model!R29/Model!R23</f>
        <v>0.23131274072950753</v>
      </c>
      <c r="R7" s="208">
        <f>Model!S29/Model!S23</f>
        <v>0.23131274072950744</v>
      </c>
      <c r="S7" s="208">
        <f>Model!T29/Model!T23</f>
        <v>0.23131274072950744</v>
      </c>
      <c r="T7" s="208">
        <f>Model!U29/Model!U23</f>
        <v>0.23131274072950742</v>
      </c>
      <c r="U7" s="208">
        <f>Model!V29/Model!V23</f>
        <v>0.23131274072950747</v>
      </c>
      <c r="V7" s="170"/>
      <c r="X7" s="212" t="s">
        <v>586</v>
      </c>
    </row>
    <row r="8" spans="1:24" ht="52.2" customHeight="1" x14ac:dyDescent="0.3">
      <c r="D8" s="182" t="s">
        <v>283</v>
      </c>
      <c r="E8" s="177"/>
      <c r="F8" s="177"/>
      <c r="G8" s="178">
        <f>Model!H31/Model!H23</f>
        <v>0.11395657138884084</v>
      </c>
      <c r="H8" s="178">
        <f>Model!I31/Model!I23</f>
        <v>0.14123048848365546</v>
      </c>
      <c r="I8" s="178">
        <f>Model!J31/Model!J23</f>
        <v>0.14850547074455825</v>
      </c>
      <c r="J8" s="178">
        <f>Model!K31/Model!K23</f>
        <v>8.1065008574616182E-2</v>
      </c>
      <c r="K8" s="178">
        <f>Model!L31/Model!L23</f>
        <v>0.15541744839660343</v>
      </c>
      <c r="L8" s="178">
        <f>Model!M31/Model!M23</f>
        <v>0.1394533675994091</v>
      </c>
      <c r="M8" s="178">
        <f>Model!N31/Model!N23</f>
        <v>0.14286399047684933</v>
      </c>
      <c r="N8" s="178">
        <f>Model!O31/Model!O23</f>
        <v>0.12460848687869525</v>
      </c>
      <c r="O8" s="178">
        <f>Model!P31/Model!P23</f>
        <v>0.10395935266601568</v>
      </c>
      <c r="P8" s="178">
        <f>Model!Q31/Model!Q23</f>
        <v>0.10097564134865272</v>
      </c>
      <c r="Q8" s="178">
        <f>Model!R31/Model!R23</f>
        <v>0.10244604224877704</v>
      </c>
      <c r="R8" s="178">
        <f>Model!S31/Model!S23</f>
        <v>9.3106469301387842E-2</v>
      </c>
      <c r="S8" s="178">
        <f>Model!T31/Model!T23</f>
        <v>0.10462560806680092</v>
      </c>
      <c r="T8" s="178">
        <f>Model!U31/Model!U23</f>
        <v>0.11815149638892022</v>
      </c>
      <c r="U8" s="178">
        <f>Model!V31/Model!V23</f>
        <v>0.12325360585525517</v>
      </c>
      <c r="V8" s="183"/>
      <c r="X8" s="211" t="s">
        <v>616</v>
      </c>
    </row>
    <row r="9" spans="1:24" ht="52.2" customHeight="1" x14ac:dyDescent="0.3">
      <c r="D9" s="174" t="s">
        <v>284</v>
      </c>
      <c r="G9" s="208">
        <f>Model!H35/Model!H23</f>
        <v>0.10804119580663397</v>
      </c>
      <c r="H9" s="208">
        <f>Model!I35/Model!I23</f>
        <v>0.13771389511411156</v>
      </c>
      <c r="I9" s="208">
        <f>Model!J35/Model!J23</f>
        <v>0.14421516334879309</v>
      </c>
      <c r="J9" s="208">
        <f>Model!K35/Model!K23</f>
        <v>7.1101717591830732E-2</v>
      </c>
      <c r="K9" s="208">
        <f>Model!L35/Model!L23</f>
        <v>0.1462006094081795</v>
      </c>
      <c r="L9" s="208">
        <f>Model!M35/Model!M23</f>
        <v>0.13279221294821891</v>
      </c>
      <c r="M9" s="208">
        <f>Model!N35/Model!N23</f>
        <v>0.13690055748563162</v>
      </c>
      <c r="N9" s="208">
        <f>Model!O35/Model!O23</f>
        <v>0.11921317973021275</v>
      </c>
      <c r="O9" s="208">
        <f>Model!P35/Model!P23</f>
        <v>9.9031096366991658E-2</v>
      </c>
      <c r="P9" s="208">
        <f ca="1">Model!Q35/Model!Q23</f>
        <v>9.6434695909011992E-2</v>
      </c>
      <c r="Q9" s="208">
        <f ca="1">Model!R35/Model!R23</f>
        <v>9.8228825936933759E-2</v>
      </c>
      <c r="R9" s="208">
        <f ca="1">Model!S35/Model!S23</f>
        <v>8.916178097378108E-2</v>
      </c>
      <c r="S9" s="208">
        <f ca="1">Model!T35/Model!T23</f>
        <v>0.10091183682461238</v>
      </c>
      <c r="T9" s="208">
        <f ca="1">Model!U35/Model!U23</f>
        <v>0.11463453679846772</v>
      </c>
      <c r="U9" s="208">
        <f ca="1">Model!V35/Model!V23</f>
        <v>0.11990528339884371</v>
      </c>
      <c r="V9" s="170"/>
      <c r="X9" s="211" t="s">
        <v>615</v>
      </c>
    </row>
    <row r="10" spans="1:24" ht="52.2" customHeight="1" x14ac:dyDescent="0.3">
      <c r="D10" s="182" t="s">
        <v>285</v>
      </c>
      <c r="E10" s="177"/>
      <c r="F10" s="177"/>
      <c r="G10" s="178">
        <f>Model!H13</f>
        <v>-1.2810404939801835E-2</v>
      </c>
      <c r="H10" s="178">
        <f>Model!I13</f>
        <v>0.34783962282786918</v>
      </c>
      <c r="I10" s="178">
        <f>Model!J13</f>
        <v>0.30329336440191795</v>
      </c>
      <c r="J10" s="178">
        <f>Model!K13</f>
        <v>0.25191858525191868</v>
      </c>
      <c r="K10" s="178">
        <f>Model!L13</f>
        <v>0.25560460784368472</v>
      </c>
      <c r="L10" s="178">
        <f>Model!M13</f>
        <v>0.25560460784368472</v>
      </c>
      <c r="M10" s="178">
        <f>Model!N13</f>
        <v>0.26060460784368472</v>
      </c>
      <c r="N10" s="178">
        <f>Model!O13</f>
        <v>0.26060460784368472</v>
      </c>
      <c r="O10" s="178">
        <f>Model!P13</f>
        <v>0.26560460784368473</v>
      </c>
      <c r="P10" s="178">
        <f>Model!Q13</f>
        <v>0.26560460784368473</v>
      </c>
      <c r="Q10" s="178">
        <f>Model!R13</f>
        <v>0.27060460784368473</v>
      </c>
      <c r="R10" s="178">
        <f>Model!S13</f>
        <v>0.27060460784368473</v>
      </c>
      <c r="S10" s="178">
        <f>Model!T13</f>
        <v>0.27560460784368473</v>
      </c>
      <c r="T10" s="178">
        <f>Model!U13</f>
        <v>0.27560460784368473</v>
      </c>
      <c r="U10" s="178">
        <f>Model!V13</f>
        <v>0.28060460784368474</v>
      </c>
      <c r="V10" s="183"/>
      <c r="X10" s="211" t="s">
        <v>592</v>
      </c>
    </row>
    <row r="11" spans="1:24" ht="52.2" customHeight="1" x14ac:dyDescent="0.3">
      <c r="D11" s="174" t="s">
        <v>286</v>
      </c>
      <c r="G11" s="208">
        <f>Model!H37/Model!H23</f>
        <v>0.10942524727509738</v>
      </c>
      <c r="H11" s="208">
        <f>Model!I37/Model!I23</f>
        <v>8.9811545779462251E-2</v>
      </c>
      <c r="I11" s="208">
        <f>Model!J37/Model!J23</f>
        <v>0.10047566125896545</v>
      </c>
      <c r="J11" s="208">
        <f>Model!K37/Model!K23</f>
        <v>5.318987348711527E-2</v>
      </c>
      <c r="K11" s="208">
        <f>Model!L37/Model!L23</f>
        <v>0.10883105997389406</v>
      </c>
      <c r="L11" s="208">
        <f>Model!M37/Model!M23</f>
        <v>9.8849911432894344E-2</v>
      </c>
      <c r="M11" s="208">
        <f>Model!N37/Model!N23</f>
        <v>0.10122364138850677</v>
      </c>
      <c r="N11" s="208">
        <f>Model!O37/Model!O23</f>
        <v>8.8145675776821947E-2</v>
      </c>
      <c r="O11" s="208">
        <f>Model!P37/Model!P23</f>
        <v>7.2727980852106688E-2</v>
      </c>
      <c r="P11" s="208">
        <f ca="1">Model!Q37/Model!Q23</f>
        <v>7.0821196319573884E-2</v>
      </c>
      <c r="Q11" s="208">
        <f ca="1">Model!R37/Model!R23</f>
        <v>7.1647653015324234E-2</v>
      </c>
      <c r="R11" s="208">
        <f ca="1">Model!S37/Model!S23</f>
        <v>6.503419219872654E-2</v>
      </c>
      <c r="S11" s="208">
        <f ca="1">Model!T37/Model!T23</f>
        <v>7.3100069609779175E-2</v>
      </c>
      <c r="T11" s="208">
        <f ca="1">Model!U37/Model!U23</f>
        <v>8.3040730238783583E-2</v>
      </c>
      <c r="U11" s="208">
        <f ca="1">Model!V37/Model!V23</f>
        <v>8.6259308372325288E-2</v>
      </c>
      <c r="V11" s="170"/>
      <c r="X11" s="211" t="s">
        <v>614</v>
      </c>
    </row>
    <row r="12" spans="1:24" ht="52.2" customHeight="1" x14ac:dyDescent="0.3">
      <c r="D12" s="182"/>
      <c r="E12" s="177"/>
      <c r="F12" s="177"/>
      <c r="G12" s="179"/>
      <c r="H12" s="179"/>
      <c r="I12" s="179"/>
      <c r="J12" s="179"/>
      <c r="K12" s="179"/>
      <c r="L12" s="179"/>
      <c r="M12" s="179"/>
      <c r="N12" s="179"/>
      <c r="O12" s="179"/>
      <c r="P12" s="179"/>
      <c r="Q12" s="179"/>
      <c r="R12" s="179"/>
      <c r="S12" s="179"/>
      <c r="T12" s="179"/>
      <c r="U12" s="179"/>
      <c r="V12" s="183"/>
      <c r="X12" s="213"/>
    </row>
    <row r="13" spans="1:24" ht="52.2" customHeight="1" x14ac:dyDescent="0.3">
      <c r="D13" s="184" t="s">
        <v>287</v>
      </c>
      <c r="E13" s="177"/>
      <c r="F13" s="177"/>
      <c r="G13" s="179"/>
      <c r="H13" s="179"/>
      <c r="I13" s="179"/>
      <c r="J13" s="179"/>
      <c r="K13" s="179"/>
      <c r="L13" s="179"/>
      <c r="M13" s="179"/>
      <c r="N13" s="179"/>
      <c r="O13" s="179"/>
      <c r="P13" s="179"/>
      <c r="Q13" s="179"/>
      <c r="R13" s="179"/>
      <c r="S13" s="179"/>
      <c r="T13" s="179"/>
      <c r="U13" s="179"/>
      <c r="V13" s="183"/>
      <c r="X13" s="213"/>
    </row>
    <row r="14" spans="1:24" ht="52.2" customHeight="1" x14ac:dyDescent="0.3">
      <c r="D14" s="174" t="s">
        <v>288</v>
      </c>
      <c r="G14" s="209"/>
      <c r="H14" s="209">
        <f>Model!I23/AVERAGE(Model!H57:I57)</f>
        <v>0.93829049038860679</v>
      </c>
      <c r="I14" s="209">
        <f>Model!J23/AVERAGE(Model!I57:J57)</f>
        <v>0.87235855548380614</v>
      </c>
      <c r="J14" s="209">
        <f>Model!K23/AVERAGE(Model!J57:K57)</f>
        <v>0.82341935411900191</v>
      </c>
      <c r="K14" s="209">
        <f>Model!L23/AVERAGE(Model!K57:L57)</f>
        <v>0.86723226862734182</v>
      </c>
      <c r="L14" s="209">
        <f>Model!M23/AVERAGE(Model!L57:M57)</f>
        <v>0.88010544871572327</v>
      </c>
      <c r="M14" s="209">
        <f>Model!N23/AVERAGE(Model!M57:N57)</f>
        <v>0.89537411282235368</v>
      </c>
      <c r="N14" s="209">
        <f>Model!O23/AVERAGE(Model!N57:O57)</f>
        <v>0.90619794343405935</v>
      </c>
      <c r="O14" s="209">
        <f ca="1">Model!P23/AVERAGE(Model!O57:P57)</f>
        <v>0.91933627659862838</v>
      </c>
      <c r="P14" s="209">
        <f ca="1">Model!Q23/AVERAGE(Model!P57:Q57)</f>
        <v>0.93103752253509442</v>
      </c>
      <c r="Q14" s="209">
        <f ca="1">Model!R23/AVERAGE(Model!Q57:R57)</f>
        <v>0.93578845607258809</v>
      </c>
      <c r="R14" s="209">
        <f ca="1">Model!S23/AVERAGE(Model!R57:S57)</f>
        <v>0.93664357306201229</v>
      </c>
      <c r="S14" s="209">
        <f ca="1">Model!T23/AVERAGE(Model!S57:T57)</f>
        <v>0.93118828539407661</v>
      </c>
      <c r="T14" s="209">
        <f ca="1">Model!U23/AVERAGE(Model!T57:U57)</f>
        <v>0.91410144186102826</v>
      </c>
      <c r="U14" s="209">
        <f ca="1">Model!V23/AVERAGE(Model!U57:V57)</f>
        <v>0.88935056320311023</v>
      </c>
      <c r="V14" s="170"/>
      <c r="X14" s="211" t="s">
        <v>594</v>
      </c>
    </row>
    <row r="15" spans="1:24" ht="52.2" customHeight="1" x14ac:dyDescent="0.3">
      <c r="D15" s="182" t="s">
        <v>289</v>
      </c>
      <c r="E15" s="177"/>
      <c r="F15" s="177"/>
      <c r="G15" s="180"/>
      <c r="H15" s="180">
        <f>Model!I35/AVERAGE(Model!H57:I57)</f>
        <v>0.12921563817994489</v>
      </c>
      <c r="I15" s="180">
        <f>Model!J35/AVERAGE(Model!I57:J57)</f>
        <v>0.12580733157781429</v>
      </c>
      <c r="J15" s="180">
        <f>Model!K35/AVERAGE(Model!J57:K57)</f>
        <v>5.8546530376216932E-2</v>
      </c>
      <c r="K15" s="180">
        <f>Model!L35/AVERAGE(Model!K57:L57)</f>
        <v>0.12678988617175541</v>
      </c>
      <c r="L15" s="180">
        <f>Model!M35/AVERAGE(Model!L57:M57)</f>
        <v>0.11687115016274607</v>
      </c>
      <c r="M15" s="180">
        <f>Model!N35/AVERAGE(Model!M57:N57)</f>
        <v>0.12257721520358304</v>
      </c>
      <c r="N15" s="180">
        <f>Model!O35/AVERAGE(Model!N57:O57)</f>
        <v>0.10803073830175368</v>
      </c>
      <c r="O15" s="180">
        <f ca="1">Model!P35/AVERAGE(Model!O57:P57)</f>
        <v>9.1042879401510068E-2</v>
      </c>
      <c r="P15" s="180">
        <f ca="1">Model!Q35/AVERAGE(Model!P57:Q57)</f>
        <v>8.9784320365551742E-2</v>
      </c>
      <c r="Q15" s="180">
        <f ca="1">Model!R35/AVERAGE(Model!Q57:R57)</f>
        <v>9.1921401365346239E-2</v>
      </c>
      <c r="R15" s="180">
        <f ca="1">Model!S35/AVERAGE(Model!R57:S57)</f>
        <v>8.3512809111854852E-2</v>
      </c>
      <c r="S15" s="180">
        <f ca="1">Model!T35/AVERAGE(Model!S57:T57)</f>
        <v>9.3967920308677649E-2</v>
      </c>
      <c r="T15" s="180">
        <f ca="1">Model!U35/AVERAGE(Model!T57:U57)</f>
        <v>0.10478759537455044</v>
      </c>
      <c r="U15" s="180">
        <f ca="1">Model!V35/AVERAGE(Model!U57:V57)</f>
        <v>0.10663783132179019</v>
      </c>
      <c r="V15" s="183"/>
      <c r="X15" s="211" t="s">
        <v>593</v>
      </c>
    </row>
    <row r="16" spans="1:24" ht="52.2" customHeight="1" x14ac:dyDescent="0.3">
      <c r="D16" s="174" t="s">
        <v>290</v>
      </c>
      <c r="G16" s="209"/>
      <c r="H16" s="209">
        <f>Model!I35/AVERAGE(Model!H73:I73)</f>
        <v>0.1656197456923838</v>
      </c>
      <c r="I16" s="209">
        <f>Model!J35/AVERAGE(Model!I73:J73)</f>
        <v>0.16525101697712619</v>
      </c>
      <c r="J16" s="209">
        <f>Model!K35/AVERAGE(Model!J73:K73)</f>
        <v>8.0752026846385383E-2</v>
      </c>
      <c r="K16" s="209">
        <f>Model!L35/AVERAGE(Model!K73:L73)</f>
        <v>0.1828350419748454</v>
      </c>
      <c r="L16" s="209">
        <f>Model!M35/AVERAGE(Model!L73:M73)</f>
        <v>0.16777279593461977</v>
      </c>
      <c r="M16" s="209">
        <f>Model!N35/AVERAGE(Model!M73:N73)</f>
        <v>0.17118091334969754</v>
      </c>
      <c r="N16" s="209">
        <f>Model!O35/AVERAGE(Model!N73:O73)</f>
        <v>0.14719531102042346</v>
      </c>
      <c r="O16" s="209">
        <f>Model!P35/AVERAGE(Model!O73:P73)</f>
        <v>0.1217479030966932</v>
      </c>
      <c r="P16" s="209">
        <f ca="1">Model!Q35/AVERAGE(Model!P73:Q73)</f>
        <v>0.11822253915478566</v>
      </c>
      <c r="Q16" s="209">
        <f ca="1">Model!R35/AVERAGE(Model!Q73:R73)</f>
        <v>0.11927152029837423</v>
      </c>
      <c r="R16" s="209">
        <f ca="1">Model!S35/AVERAGE(Model!R73:S73)</f>
        <v>0.10693508812008137</v>
      </c>
      <c r="S16" s="209">
        <f ca="1">Model!T35/AVERAGE(Model!S73:T73)</f>
        <v>0.1187869816015029</v>
      </c>
      <c r="T16" s="209">
        <f ca="1">Model!U35/AVERAGE(Model!T73:U73)</f>
        <v>0.13061490721037311</v>
      </c>
      <c r="U16" s="209">
        <f ca="1">Model!V35/AVERAGE(Model!U73:V73)</f>
        <v>0.13104492508074386</v>
      </c>
      <c r="V16" s="170"/>
      <c r="X16" s="211" t="s">
        <v>613</v>
      </c>
    </row>
    <row r="17" spans="4:24" ht="52.2" customHeight="1" x14ac:dyDescent="0.3">
      <c r="D17" s="182" t="s">
        <v>291</v>
      </c>
      <c r="E17" s="177"/>
      <c r="F17" s="177"/>
      <c r="G17" s="181">
        <f>Model!H37/Model!H35</f>
        <v>1.0128104049398019</v>
      </c>
      <c r="H17" s="181">
        <f>Model!I37/Model!I35</f>
        <v>0.65216037717213082</v>
      </c>
      <c r="I17" s="181">
        <f>Model!J37/Model!J35</f>
        <v>0.69670663559808199</v>
      </c>
      <c r="J17" s="181">
        <f>Model!K37/Model!K35</f>
        <v>0.74808141474808121</v>
      </c>
      <c r="K17" s="181">
        <f>Model!L37/Model!L35</f>
        <v>0.74439539215631523</v>
      </c>
      <c r="L17" s="181">
        <f>Model!M37/Model!M35</f>
        <v>0.74439539215631534</v>
      </c>
      <c r="M17" s="181">
        <f>Model!N37/Model!N35</f>
        <v>0.73939539215631522</v>
      </c>
      <c r="N17" s="181">
        <f>Model!O37/Model!O35</f>
        <v>0.73939539215631522</v>
      </c>
      <c r="O17" s="181">
        <f>Model!P37/Model!P35</f>
        <v>0.73439539215631522</v>
      </c>
      <c r="P17" s="181">
        <f ca="1">Model!Q37/Model!Q35</f>
        <v>0.73439539215631533</v>
      </c>
      <c r="Q17" s="181">
        <f ca="1">Model!R37/Model!R35</f>
        <v>0.72939539215631533</v>
      </c>
      <c r="R17" s="181">
        <f ca="1">Model!S37/Model!S35</f>
        <v>0.72939539215631533</v>
      </c>
      <c r="S17" s="181">
        <f ca="1">Model!T37/Model!T35</f>
        <v>0.72439539215631521</v>
      </c>
      <c r="T17" s="181">
        <f ca="1">Model!U37/Model!U35</f>
        <v>0.72439539215631532</v>
      </c>
      <c r="U17" s="181">
        <f ca="1">Model!V37/Model!V35</f>
        <v>0.71939539215631521</v>
      </c>
      <c r="V17" s="183"/>
      <c r="X17" s="211" t="s">
        <v>595</v>
      </c>
    </row>
    <row r="18" spans="4:24" ht="52.2" customHeight="1" x14ac:dyDescent="0.3">
      <c r="D18" s="174" t="s">
        <v>292</v>
      </c>
      <c r="G18" s="209"/>
      <c r="H18" s="209">
        <f>Model!I37/AVERAGE(Model!H73:I73)</f>
        <v>0.1080106358178974</v>
      </c>
      <c r="I18" s="209">
        <f>Model!J37/AVERAGE(Model!I73:J73)</f>
        <v>0.11513148006729512</v>
      </c>
      <c r="J18" s="209">
        <f>Model!K37/AVERAGE(Model!J73:K73)</f>
        <v>6.0409090487019014E-2</v>
      </c>
      <c r="K18" s="209">
        <f>Model!L37/AVERAGE(Model!K73:L73)</f>
        <v>0.13610156277078139</v>
      </c>
      <c r="L18" s="209">
        <f>Model!M37/AVERAGE(Model!L73:M73)</f>
        <v>0.12488929622291275</v>
      </c>
      <c r="M18" s="209">
        <f>Model!N37/AVERAGE(Model!M73:N73)</f>
        <v>0.12657037855587583</v>
      </c>
      <c r="N18" s="209">
        <f>Model!O37/AVERAGE(Model!N73:O73)</f>
        <v>0.1088355347155168</v>
      </c>
      <c r="O18" s="209">
        <f>Model!P37/AVERAGE(Model!O73:P73)</f>
        <v>8.9411099038905067E-2</v>
      </c>
      <c r="P18" s="209">
        <f ca="1">Model!Q37/AVERAGE(Model!P73:Q73)</f>
        <v>8.6822088004294154E-2</v>
      </c>
      <c r="Q18" s="209">
        <f ca="1">Model!R37/AVERAGE(Model!Q73:R73)</f>
        <v>8.6996097321112589E-2</v>
      </c>
      <c r="R18" s="209">
        <f ca="1">Model!S37/AVERAGE(Model!R73:S73)</f>
        <v>7.7997960534616897E-2</v>
      </c>
      <c r="S18" s="209">
        <f ca="1">Model!T37/AVERAGE(Model!S73:T73)</f>
        <v>8.6048742120285709E-2</v>
      </c>
      <c r="T18" s="209">
        <f ca="1">Model!U37/AVERAGE(Model!T73:U73)</f>
        <v>9.461683693011895E-2</v>
      </c>
      <c r="U18" s="209">
        <f ca="1">Model!V37/AVERAGE(Model!U73:V73)</f>
        <v>9.4273115268556695E-2</v>
      </c>
      <c r="V18" s="170"/>
      <c r="X18" s="211" t="s">
        <v>630</v>
      </c>
    </row>
    <row r="19" spans="4:24" ht="52.2" customHeight="1" x14ac:dyDescent="0.3">
      <c r="D19" s="182" t="s">
        <v>293</v>
      </c>
      <c r="E19" s="177"/>
      <c r="F19" s="177"/>
      <c r="G19" s="181">
        <f>(Model!H37+Model!H102)/Model!H37</f>
        <v>1</v>
      </c>
      <c r="H19" s="181">
        <f>(Model!I37+Model!I102)/Model!I37</f>
        <v>1</v>
      </c>
      <c r="I19" s="181">
        <f>(Model!J37+Model!J102)/Model!J37</f>
        <v>1</v>
      </c>
      <c r="J19" s="181">
        <f>(Model!K37+Model!K102)/Model!K37</f>
        <v>1</v>
      </c>
      <c r="K19" s="181">
        <f>(Model!L37+Model!L102)/Model!L37</f>
        <v>0.80431609848865404</v>
      </c>
      <c r="L19" s="181">
        <f>(Model!M37+Model!M102)/Model!M37</f>
        <v>0.96086321969773081</v>
      </c>
      <c r="M19" s="181">
        <f>(Model!N37+Model!N102)/Model!N37</f>
        <v>0.96086321969773081</v>
      </c>
      <c r="N19" s="181">
        <f>(Model!O37+Model!O102)/Model!O37</f>
        <v>0.96086321969773081</v>
      </c>
      <c r="O19" s="181">
        <f>(Model!P37+Model!P102)/Model!P37</f>
        <v>0.96086321969773081</v>
      </c>
      <c r="P19" s="181">
        <f ca="1">(Model!Q37+Model!Q102)/Model!Q37</f>
        <v>0.9608632196977307</v>
      </c>
      <c r="Q19" s="181">
        <f ca="1">(Model!R37+Model!R102)/Model!R37</f>
        <v>0.96086321969773081</v>
      </c>
      <c r="R19" s="181">
        <f ca="1">(Model!S37+Model!S102)/Model!S37</f>
        <v>0.96086321969773081</v>
      </c>
      <c r="S19" s="181">
        <f ca="1">(Model!T37+Model!T102)/Model!T37</f>
        <v>0.96086321969773081</v>
      </c>
      <c r="T19" s="181">
        <f ca="1">(Model!U37+Model!U102)/Model!U37</f>
        <v>0.96086321969773081</v>
      </c>
      <c r="U19" s="181">
        <f ca="1">(Model!V37+Model!V102)/Model!V37</f>
        <v>0.96086321969773092</v>
      </c>
      <c r="V19" s="183"/>
      <c r="X19" s="211" t="s">
        <v>587</v>
      </c>
    </row>
    <row r="20" spans="4:24" ht="52.2" customHeight="1" x14ac:dyDescent="0.3">
      <c r="D20" s="175" t="s">
        <v>294</v>
      </c>
      <c r="G20" s="209"/>
      <c r="H20" s="209">
        <f>(Model!I37+Model!I102)/AVERAGE(Model!H73:I73)</f>
        <v>0.1080106358178974</v>
      </c>
      <c r="I20" s="209">
        <f>(Model!J37+Model!J102)/AVERAGE(Model!I73:J73)</f>
        <v>0.11513148006729512</v>
      </c>
      <c r="J20" s="209">
        <f>(Model!K37+Model!K102)/AVERAGE(Model!J73:K73)</f>
        <v>6.0409090487019014E-2</v>
      </c>
      <c r="K20" s="209">
        <f>(Model!L37+Model!L102)/AVERAGE(Model!K73:L73)</f>
        <v>0.10946867796600354</v>
      </c>
      <c r="L20" s="209">
        <f>(Model!M37+Model!M102)/AVERAGE(Model!L73:M73)</f>
        <v>0.1200015312745316</v>
      </c>
      <c r="M20" s="209">
        <f>(Model!N37+Model!N102)/AVERAGE(Model!M73:N73)</f>
        <v>0.12161682145755949</v>
      </c>
      <c r="N20" s="209">
        <f>(Model!O37+Model!O102)/AVERAGE(Model!N73:O73)</f>
        <v>0.10457606230427563</v>
      </c>
      <c r="O20" s="209">
        <f>(Model!P37+Model!P102)/AVERAGE(Model!O73:P73)</f>
        <v>8.5911836499235006E-2</v>
      </c>
      <c r="P20" s="209">
        <f ca="1">(Model!Q37+Model!Q102)/AVERAGE(Model!P73:Q73)</f>
        <v>8.3424151020685816E-2</v>
      </c>
      <c r="Q20" s="209">
        <f ca="1">(Model!R37+Model!R102)/AVERAGE(Model!Q73:R73)</f>
        <v>8.3591350173101375E-2</v>
      </c>
      <c r="R20" s="209">
        <f ca="1">(Model!S37+Model!S102)/AVERAGE(Model!R73:S73)</f>
        <v>7.4945371489148524E-2</v>
      </c>
      <c r="S20" s="209">
        <f ca="1">(Model!T37+Model!T102)/AVERAGE(Model!S73:T73)</f>
        <v>8.2681071404637471E-2</v>
      </c>
      <c r="T20" s="209">
        <f ca="1">(Model!U37+Model!U102)/AVERAGE(Model!T73:U73)</f>
        <v>9.0913838570289257E-2</v>
      </c>
      <c r="U20" s="209">
        <f ca="1">(Model!V37+Model!V102)/AVERAGE(Model!U73:V73)</f>
        <v>9.058356906788069E-2</v>
      </c>
      <c r="V20" s="170"/>
      <c r="X20" s="211" t="s">
        <v>612</v>
      </c>
    </row>
    <row r="21" spans="4:24" ht="52.2" customHeight="1" x14ac:dyDescent="0.3">
      <c r="D21" s="185"/>
      <c r="E21" s="177"/>
      <c r="F21" s="177"/>
      <c r="G21" s="179"/>
      <c r="H21" s="179"/>
      <c r="I21" s="179"/>
      <c r="J21" s="179"/>
      <c r="K21" s="179"/>
      <c r="L21" s="179"/>
      <c r="M21" s="179"/>
      <c r="N21" s="179"/>
      <c r="O21" s="179"/>
      <c r="P21" s="179"/>
      <c r="Q21" s="179"/>
      <c r="R21" s="179"/>
      <c r="S21" s="179"/>
      <c r="T21" s="179"/>
      <c r="U21" s="179"/>
      <c r="V21" s="183"/>
      <c r="X21" s="213"/>
    </row>
    <row r="22" spans="4:24" ht="52.2" customHeight="1" x14ac:dyDescent="0.3">
      <c r="D22" s="176" t="s">
        <v>295</v>
      </c>
      <c r="G22" s="207"/>
      <c r="H22" s="207"/>
      <c r="I22" s="207"/>
      <c r="J22" s="207"/>
      <c r="K22" s="207"/>
      <c r="L22" s="207"/>
      <c r="M22" s="207"/>
      <c r="N22" s="207"/>
      <c r="O22" s="207"/>
      <c r="P22" s="207"/>
      <c r="Q22" s="207"/>
      <c r="R22" s="207"/>
      <c r="S22" s="207"/>
      <c r="T22" s="207"/>
      <c r="U22" s="207"/>
      <c r="V22" s="170"/>
      <c r="X22" s="213"/>
    </row>
    <row r="23" spans="4:24" ht="52.2" customHeight="1" x14ac:dyDescent="0.3">
      <c r="D23" s="185" t="s">
        <v>296</v>
      </c>
      <c r="E23" s="177"/>
      <c r="F23" s="177"/>
      <c r="G23" s="181">
        <f>(SUM(Model!H43:H49)-Model!H47)/SUM(Model!H61:H63)</f>
        <v>1.9261003564771364</v>
      </c>
      <c r="H23" s="181">
        <f>(SUM(Model!I43:I49)-Model!I47)/SUM(Model!I61:I63)</f>
        <v>1.1794141176684292</v>
      </c>
      <c r="I23" s="181">
        <f>(SUM(Model!J43:J49)-Model!J47)/SUM(Model!J61:J63)</f>
        <v>0.55222834663537412</v>
      </c>
      <c r="J23" s="181">
        <f>(SUM(Model!K43:K49)-Model!K47)/SUM(Model!K61:K63)</f>
        <v>0.65647315316191945</v>
      </c>
      <c r="K23" s="181">
        <f>(SUM(Model!L43:L49)-Model!L47)/SUM(Model!L61:L63)</f>
        <v>0.80023491411910863</v>
      </c>
      <c r="L23" s="181">
        <f>(SUM(Model!M43:M49)-Model!M47)/SUM(Model!M61:M63)</f>
        <v>1.0246167978044471</v>
      </c>
      <c r="M23" s="181">
        <f>(SUM(Model!N43:N49)-Model!N47)/SUM(Model!N61:N63)</f>
        <v>0.50666855960662793</v>
      </c>
      <c r="N23" s="181">
        <f>(SUM(Model!O43:O49)-Model!O47)/SUM(Model!O61:O63)</f>
        <v>0.34829564820843545</v>
      </c>
      <c r="O23" s="181">
        <f ca="1">(SUM(Model!P43:P49)-Model!P47)/SUM(Model!P61:P63)</f>
        <v>0.25356352605465349</v>
      </c>
      <c r="P23" s="181">
        <f ca="1">(SUM(Model!Q43:Q49)-Model!Q47)/SUM(Model!Q61:Q63)</f>
        <v>0.33692467093043277</v>
      </c>
      <c r="Q23" s="181">
        <f ca="1">(SUM(Model!R43:R49)-Model!R47)/SUM(Model!R61:R63)</f>
        <v>0.59806445280521892</v>
      </c>
      <c r="R23" s="181">
        <f ca="1">(SUM(Model!S43:S49)-Model!S47)/SUM(Model!S61:S63)</f>
        <v>1.0680690692401331</v>
      </c>
      <c r="S23" s="181">
        <f ca="1">(SUM(Model!T43:T49)-Model!T47)/SUM(Model!T61:T63)</f>
        <v>1.712200446544714</v>
      </c>
      <c r="T23" s="181">
        <f ca="1">(SUM(Model!U43:U49)-Model!U47)/SUM(Model!U61:U63)</f>
        <v>2.5349546622542722</v>
      </c>
      <c r="U23" s="181">
        <f ca="1">(SUM(Model!V43:V49)-Model!V47)/SUM(Model!V61:V63)</f>
        <v>3.5547939334253709</v>
      </c>
      <c r="V23" s="183"/>
      <c r="X23" s="212" t="s">
        <v>596</v>
      </c>
    </row>
    <row r="24" spans="4:24" ht="52.2" customHeight="1" x14ac:dyDescent="0.3">
      <c r="D24" s="175" t="s">
        <v>297</v>
      </c>
      <c r="G24" s="210">
        <f>SUM(Model!H43:H49)/SUM(Model!H61:H63)</f>
        <v>2.4151300956248165</v>
      </c>
      <c r="H24" s="210">
        <f>SUM(Model!I43:I49)/SUM(Model!I61:I63)</f>
        <v>1.887294908260283</v>
      </c>
      <c r="I24" s="210">
        <f>SUM(Model!J43:J49)/SUM(Model!J61:J63)</f>
        <v>0.98167253018007483</v>
      </c>
      <c r="J24" s="210">
        <f>SUM(Model!K43:K49)/SUM(Model!K61:K63)</f>
        <v>1.1545459333553088</v>
      </c>
      <c r="K24" s="210">
        <f>SUM(Model!L43:L49)/SUM(Model!L61:L63)</f>
        <v>1.3065640129012461</v>
      </c>
      <c r="L24" s="210">
        <f>SUM(Model!M43:M49)/SUM(Model!M61:M63)</f>
        <v>1.5113981659239937</v>
      </c>
      <c r="M24" s="210">
        <f>SUM(Model!N43:N49)/SUM(Model!N61:N63)</f>
        <v>1.0311386982457253</v>
      </c>
      <c r="N24" s="210">
        <f>SUM(Model!O43:O49)/SUM(Model!O61:O63)</f>
        <v>0.90805497794072787</v>
      </c>
      <c r="O24" s="210">
        <f ca="1">SUM(Model!P43:P49)/SUM(Model!P61:P63)</f>
        <v>0.84609876455750921</v>
      </c>
      <c r="P24" s="210">
        <f ca="1">SUM(Model!Q43:Q49)/SUM(Model!Q61:Q63)</f>
        <v>0.95969979663578664</v>
      </c>
      <c r="Q24" s="210">
        <f ca="1">SUM(Model!R43:R49)/SUM(Model!R61:R63)</f>
        <v>1.2485888560014611</v>
      </c>
      <c r="R24" s="210">
        <f ca="1">SUM(Model!S43:S49)/SUM(Model!S61:S63)</f>
        <v>1.7439457639608869</v>
      </c>
      <c r="S24" s="210">
        <f ca="1">SUM(Model!T43:T49)/SUM(Model!T61:T63)</f>
        <v>2.4111578587614213</v>
      </c>
      <c r="T24" s="210">
        <f ca="1">SUM(Model!U43:U49)/SUM(Model!U61:U63)</f>
        <v>3.254865512492076</v>
      </c>
      <c r="U24" s="210">
        <f ca="1">SUM(Model!V43:V49)/SUM(Model!V61:V63)</f>
        <v>4.2936843828523026</v>
      </c>
      <c r="V24" s="170"/>
      <c r="X24" s="211" t="s">
        <v>597</v>
      </c>
    </row>
    <row r="25" spans="4:24" ht="52.2" customHeight="1" x14ac:dyDescent="0.3">
      <c r="D25" s="185" t="s">
        <v>298</v>
      </c>
      <c r="E25" s="177"/>
      <c r="F25" s="177"/>
      <c r="G25" s="181">
        <f>Model!H15+Model!H16-Model!H17</f>
        <v>0</v>
      </c>
      <c r="H25" s="181">
        <f>Model!I15+Model!I16-Model!I17</f>
        <v>36.695177721264116</v>
      </c>
      <c r="I25" s="181">
        <f>Model!J15+Model!J16-Model!J17</f>
        <v>98.019409124709455</v>
      </c>
      <c r="J25" s="181">
        <f>Model!K15+Model!K16-Model!K17</f>
        <v>126.5467214562274</v>
      </c>
      <c r="K25" s="181">
        <f>Model!L15+Model!L16-Model!L17</f>
        <v>176.5483462989298</v>
      </c>
      <c r="L25" s="181">
        <f>Model!M15+Model!M16-Model!M17</f>
        <v>109.45241365028269</v>
      </c>
      <c r="M25" s="181">
        <f>Model!N15+Model!N16-Model!N17</f>
        <v>109.45241365028269</v>
      </c>
      <c r="N25" s="181">
        <f>Model!O15+Model!O16-Model!O17</f>
        <v>109.45241365028269</v>
      </c>
      <c r="O25" s="181">
        <f>Model!P15+Model!P16-Model!P17</f>
        <v>109.45241365028269</v>
      </c>
      <c r="P25" s="181">
        <f>Model!Q15+Model!Q16-Model!Q17</f>
        <v>109.45241365028269</v>
      </c>
      <c r="Q25" s="181">
        <f>Model!R15+Model!R16-Model!R17</f>
        <v>109.45241365028269</v>
      </c>
      <c r="R25" s="181">
        <f>Model!S15+Model!S16-Model!S17</f>
        <v>109.45241365028269</v>
      </c>
      <c r="S25" s="181">
        <f>Model!T15+Model!T16-Model!T17</f>
        <v>109.45241365028269</v>
      </c>
      <c r="T25" s="181">
        <f>Model!U15+Model!U16-Model!U17</f>
        <v>109.45241365028269</v>
      </c>
      <c r="U25" s="181">
        <f>Model!V15+Model!V16-Model!V17</f>
        <v>109.45241365028269</v>
      </c>
      <c r="V25" s="183"/>
      <c r="X25" s="211" t="s">
        <v>598</v>
      </c>
    </row>
    <row r="26" spans="4:24" ht="52.2" customHeight="1" x14ac:dyDescent="0.3">
      <c r="D26" s="185"/>
      <c r="E26" s="177"/>
      <c r="F26" s="177"/>
      <c r="G26" s="179"/>
      <c r="H26" s="179"/>
      <c r="I26" s="179"/>
      <c r="J26" s="179"/>
      <c r="K26" s="179"/>
      <c r="L26" s="179"/>
      <c r="M26" s="179"/>
      <c r="N26" s="179"/>
      <c r="O26" s="179"/>
      <c r="P26" s="179"/>
      <c r="Q26" s="179"/>
      <c r="R26" s="179"/>
      <c r="S26" s="179"/>
      <c r="T26" s="179"/>
      <c r="U26" s="179"/>
      <c r="V26" s="183"/>
      <c r="X26" s="213"/>
    </row>
    <row r="27" spans="4:24" ht="52.2" customHeight="1" x14ac:dyDescent="0.3">
      <c r="D27" s="176" t="s">
        <v>299</v>
      </c>
      <c r="G27" s="207"/>
      <c r="H27" s="207"/>
      <c r="I27" s="207"/>
      <c r="J27" s="207"/>
      <c r="K27" s="207"/>
      <c r="L27" s="207"/>
      <c r="M27" s="207"/>
      <c r="N27" s="207"/>
      <c r="O27" s="207"/>
      <c r="P27" s="207"/>
      <c r="Q27" s="207"/>
      <c r="R27" s="207"/>
      <c r="S27" s="207"/>
      <c r="T27" s="207"/>
      <c r="U27" s="207"/>
      <c r="V27" s="170"/>
      <c r="X27" s="212"/>
    </row>
    <row r="28" spans="4:24" ht="52.2" customHeight="1" x14ac:dyDescent="0.3">
      <c r="D28" s="185" t="s">
        <v>300</v>
      </c>
      <c r="E28" s="177"/>
      <c r="F28" s="177"/>
      <c r="G28" s="181">
        <f>Model!H57/Model!H73</f>
        <v>1.2659341257331329</v>
      </c>
      <c r="H28" s="181">
        <f>Model!I57/Model!I73</f>
        <v>1.2959078050614314</v>
      </c>
      <c r="I28" s="181">
        <f>Model!J57/Model!J73</f>
        <v>1.329231848832465</v>
      </c>
      <c r="J28" s="181">
        <f>Model!K57/Model!K73</f>
        <v>1.4263880651632186</v>
      </c>
      <c r="K28" s="181">
        <f>Model!L57/Model!L73</f>
        <v>1.4561459397064955</v>
      </c>
      <c r="L28" s="181">
        <f>Model!M57/Model!M73</f>
        <v>1.4172601369088107</v>
      </c>
      <c r="M28" s="181">
        <f>Model!N57/Model!N73</f>
        <v>1.3781481004199876</v>
      </c>
      <c r="N28" s="181">
        <f>Model!O57/Model!O73</f>
        <v>1.348467349608826</v>
      </c>
      <c r="O28" s="181">
        <f ca="1">Model!P57/Model!P73</f>
        <v>1.3269737778075958</v>
      </c>
      <c r="P28" s="181">
        <f ca="1">Model!Q57/Model!Q73</f>
        <v>1.307324351567428</v>
      </c>
      <c r="Q28" s="181">
        <f ca="1">Model!R57/Model!R73</f>
        <v>1.2885370715970355</v>
      </c>
      <c r="R28" s="181">
        <f ca="1">Model!S57/Model!S73</f>
        <v>1.2729727872284848</v>
      </c>
      <c r="S28" s="181">
        <f ca="1">Model!T57/Model!T73</f>
        <v>1.2559753076340099</v>
      </c>
      <c r="T28" s="181">
        <f ca="1">Model!U57/Model!U73</f>
        <v>1.2377970001045169</v>
      </c>
      <c r="U28" s="181">
        <f ca="1">Model!V57/Model!V73</f>
        <v>1.2207326296698373</v>
      </c>
      <c r="V28" s="183"/>
      <c r="X28" s="212" t="s">
        <v>611</v>
      </c>
    </row>
    <row r="29" spans="4:24" ht="52.2" customHeight="1" x14ac:dyDescent="0.3">
      <c r="D29" s="175" t="s">
        <v>301</v>
      </c>
      <c r="G29" s="210">
        <f>Model!H65/Model!H73</f>
        <v>3.6930798908336613E-3</v>
      </c>
      <c r="H29" s="210">
        <f>Model!I65/Model!I73</f>
        <v>2.0023377160405028E-3</v>
      </c>
      <c r="I29" s="210">
        <f>Model!J65/Model!J73</f>
        <v>2.6604983704942842E-2</v>
      </c>
      <c r="J29" s="210">
        <f>Model!K65/Model!K73</f>
        <v>0.10167043924919565</v>
      </c>
      <c r="K29" s="210">
        <f>Model!L65/Model!L73</f>
        <v>0.15454552120598541</v>
      </c>
      <c r="L29" s="210">
        <f>Model!M65/Model!M73</f>
        <v>0.137049591205228</v>
      </c>
      <c r="M29" s="210">
        <f>Model!N65/Model!N73</f>
        <v>0.121337483820081</v>
      </c>
      <c r="N29" s="210">
        <f>Model!O65/Model!O73</f>
        <v>0.1092790018340037</v>
      </c>
      <c r="O29" s="210">
        <f ca="1">Model!P65/Model!P73</f>
        <v>0.10027731770326986</v>
      </c>
      <c r="P29" s="210">
        <f ca="1">Model!Q65/Model!Q73</f>
        <v>9.2246739683975496E-2</v>
      </c>
      <c r="Q29" s="210">
        <f ca="1">Model!R65/Model!R73</f>
        <v>8.4845068028341575E-2</v>
      </c>
      <c r="R29" s="210">
        <f ca="1">Model!S65/Model!S73</f>
        <v>7.8715995687663437E-2</v>
      </c>
      <c r="S29" s="210">
        <f ca="1">Model!T65/Model!T73</f>
        <v>7.246604897282688E-2</v>
      </c>
      <c r="T29" s="210">
        <f ca="1">Model!U65/Model!U73</f>
        <v>6.6164338632962214E-2</v>
      </c>
      <c r="U29" s="210">
        <f ca="1">Model!V65/Model!V73</f>
        <v>6.0430626738286003E-2</v>
      </c>
      <c r="V29" s="170"/>
      <c r="X29" s="212" t="s">
        <v>610</v>
      </c>
    </row>
    <row r="30" spans="4:24" ht="52.2" customHeight="1" x14ac:dyDescent="0.3">
      <c r="D30" s="185" t="s">
        <v>302</v>
      </c>
      <c r="E30" s="177"/>
      <c r="F30" s="177"/>
      <c r="G30" s="180">
        <f>Model!H65/SUM(Model!H65+Model!H73)</f>
        <v>3.6794912357424421E-3</v>
      </c>
      <c r="H30" s="180">
        <f>Model!I65/SUM(Model!I65+Model!I73)</f>
        <v>1.9983363717540042E-3</v>
      </c>
      <c r="I30" s="180">
        <f>Model!J65/SUM(Model!J65+Model!J73)</f>
        <v>2.5915502191434323E-2</v>
      </c>
      <c r="J30" s="180">
        <f>Model!K65/SUM(Model!K65+Model!K73)</f>
        <v>9.2287525948763327E-2</v>
      </c>
      <c r="K30" s="180">
        <f>Model!L65/SUM(Model!L65+Model!L73)</f>
        <v>0.13385831772536283</v>
      </c>
      <c r="L30" s="180">
        <f>Model!M65/SUM(Model!M65+Model!M73)</f>
        <v>0.12053088296699603</v>
      </c>
      <c r="M30" s="180">
        <f>Model!N65/SUM(Model!N65+Model!N73)</f>
        <v>0.10820781929693311</v>
      </c>
      <c r="N30" s="180">
        <f>Model!O65/SUM(Model!O65+Model!O73)</f>
        <v>9.8513540464869084E-2</v>
      </c>
      <c r="O30" s="180">
        <f ca="1">Model!P65/SUM(Model!P65+Model!P73)</f>
        <v>9.11382213282282E-2</v>
      </c>
      <c r="P30" s="180">
        <f ca="1">Model!Q65/SUM(Model!Q65+Model!Q73)</f>
        <v>8.4455953341335349E-2</v>
      </c>
      <c r="Q30" s="180">
        <f ca="1">Model!R65/SUM(Model!R65+Model!R73)</f>
        <v>7.8209387246921599E-2</v>
      </c>
      <c r="R30" s="180">
        <f ca="1">Model!S65/SUM(Model!S65+Model!S73)</f>
        <v>7.2971937008761326E-2</v>
      </c>
      <c r="S30" s="180">
        <f ca="1">Model!T65/SUM(Model!T65+Model!T73)</f>
        <v>6.7569550609301351E-2</v>
      </c>
      <c r="T30" s="180">
        <f ca="1">Model!U65/SUM(Model!U65+Model!U73)</f>
        <v>6.2058292737307501E-2</v>
      </c>
      <c r="U30" s="180">
        <f ca="1">Model!V65/SUM(Model!V65+Model!V73)</f>
        <v>5.6986874213696456E-2</v>
      </c>
      <c r="V30" s="183"/>
      <c r="X30" s="212" t="s">
        <v>609</v>
      </c>
    </row>
    <row r="31" spans="4:24" ht="52.2" customHeight="1" x14ac:dyDescent="0.3">
      <c r="D31" s="175" t="s">
        <v>524</v>
      </c>
      <c r="G31" s="210">
        <f>(Model!H65/Model!H29)</f>
        <v>2.1150837785207623E-2</v>
      </c>
      <c r="H31" s="210">
        <f>(Model!I65/Model!I29)</f>
        <v>9.2961290913852294E-3</v>
      </c>
      <c r="I31" s="210">
        <f>(Model!J65/Model!J29)</f>
        <v>0.12372226194576011</v>
      </c>
      <c r="J31" s="210">
        <f>(Model!K65/Model!K29)</f>
        <v>0.49681801510740625</v>
      </c>
      <c r="K31" s="210">
        <f>(Model!L65/Model!L29)</f>
        <v>0.51631051194697875</v>
      </c>
      <c r="L31" s="210">
        <f>(Model!M65/Model!M29)</f>
        <v>0.4970904678683325</v>
      </c>
      <c r="M31" s="210">
        <f>(Model!N65/Model!N29)</f>
        <v>0.44502280024022606</v>
      </c>
      <c r="N31" s="210">
        <f>(Model!O65/Model!O29)</f>
        <v>0.40262625553263898</v>
      </c>
      <c r="O31" s="210">
        <f ca="1">(Model!P65/Model!P29)</f>
        <v>0.36777245954185711</v>
      </c>
      <c r="P31" s="210">
        <f ca="1">(Model!Q65/Model!Q29)</f>
        <v>0.33886928188227255</v>
      </c>
      <c r="Q31" s="210">
        <f ca="1">(Model!R65/Model!R29)</f>
        <v>0.31471090814286584</v>
      </c>
      <c r="R31" s="210">
        <f ca="1">(Model!S65/Model!S29)</f>
        <v>0.29437343359299373</v>
      </c>
      <c r="S31" s="210">
        <f ca="1">(Model!T65/Model!T29)</f>
        <v>0.2771411836243145</v>
      </c>
      <c r="T31" s="210">
        <f ca="1">(Model!U65/Model!U29)</f>
        <v>0.26245406087061579</v>
      </c>
      <c r="U31" s="210">
        <f ca="1">(Model!V65/Model!V29)</f>
        <v>0.24986946912187788</v>
      </c>
      <c r="V31" s="170"/>
      <c r="X31" s="212" t="s">
        <v>608</v>
      </c>
    </row>
    <row r="32" spans="4:24" ht="52.2" customHeight="1" x14ac:dyDescent="0.3">
      <c r="D32" s="206" t="s">
        <v>303</v>
      </c>
      <c r="E32" s="177"/>
      <c r="F32" s="177"/>
      <c r="G32" s="179"/>
      <c r="H32" s="179"/>
      <c r="I32" s="179"/>
      <c r="J32" s="179"/>
      <c r="K32" s="179"/>
      <c r="L32" s="179"/>
      <c r="M32" s="179"/>
      <c r="N32" s="179"/>
      <c r="O32" s="179"/>
      <c r="P32" s="179"/>
      <c r="Q32" s="179"/>
      <c r="R32" s="179"/>
      <c r="S32" s="179"/>
      <c r="T32" s="179"/>
      <c r="U32" s="179"/>
      <c r="V32" s="183"/>
      <c r="X32" s="213"/>
    </row>
    <row r="33" spans="4:24" ht="52.2" customHeight="1" x14ac:dyDescent="0.3">
      <c r="D33" s="185" t="s">
        <v>304</v>
      </c>
      <c r="E33" s="177"/>
      <c r="F33" s="177"/>
      <c r="G33" s="181"/>
      <c r="H33" s="181">
        <f>365/Model!I15</f>
        <v>23.619996204597065</v>
      </c>
      <c r="I33" s="181">
        <f>365/Model!J15</f>
        <v>22.9940399813676</v>
      </c>
      <c r="J33" s="181">
        <f>365/Model!K15</f>
        <v>18.120416603390968</v>
      </c>
      <c r="K33" s="181">
        <f>365/Model!L15</f>
        <v>17.206875863149115</v>
      </c>
      <c r="L33" s="181">
        <f>365/Model!M15</f>
        <v>20.087459673610265</v>
      </c>
      <c r="M33" s="181">
        <f>365/Model!N15</f>
        <v>20.087459673610265</v>
      </c>
      <c r="N33" s="181">
        <f>365/Model!O15</f>
        <v>20.087459673610265</v>
      </c>
      <c r="O33" s="181">
        <f>365/Model!P15</f>
        <v>20.087459673610265</v>
      </c>
      <c r="P33" s="181">
        <f>365/Model!Q15</f>
        <v>20.087459673610265</v>
      </c>
      <c r="Q33" s="181">
        <f>365/Model!R15</f>
        <v>20.087459673610265</v>
      </c>
      <c r="R33" s="181">
        <f>365/Model!S15</f>
        <v>20.087459673610265</v>
      </c>
      <c r="S33" s="181">
        <f>365/Model!T15</f>
        <v>20.087459673610265</v>
      </c>
      <c r="T33" s="181">
        <f>365/Model!U15</f>
        <v>20.087459673610265</v>
      </c>
      <c r="U33" s="181">
        <f>365/Model!V15</f>
        <v>20.087459673610265</v>
      </c>
      <c r="V33" s="183"/>
      <c r="X33" s="211" t="s">
        <v>599</v>
      </c>
    </row>
    <row r="34" spans="4:24" ht="52.2" customHeight="1" x14ac:dyDescent="0.3">
      <c r="D34" s="175" t="s">
        <v>305</v>
      </c>
      <c r="G34" s="210"/>
      <c r="H34" s="210">
        <f>Model!I15</f>
        <v>15.453008410262214</v>
      </c>
      <c r="I34" s="210">
        <f>Model!J15</f>
        <v>15.873678583483578</v>
      </c>
      <c r="J34" s="210">
        <f>Model!K15</f>
        <v>20.14302474324435</v>
      </c>
      <c r="K34" s="210">
        <f>Model!L15</f>
        <v>21.212450354320133</v>
      </c>
      <c r="L34" s="210">
        <f>Model!M15</f>
        <v>18.170540522827569</v>
      </c>
      <c r="M34" s="210">
        <f>Model!N15</f>
        <v>18.170540522827569</v>
      </c>
      <c r="N34" s="210">
        <f>Model!O15</f>
        <v>18.170540522827569</v>
      </c>
      <c r="O34" s="210">
        <f>Model!P15</f>
        <v>18.170540522827569</v>
      </c>
      <c r="P34" s="210">
        <f>Model!Q15</f>
        <v>18.170540522827569</v>
      </c>
      <c r="Q34" s="210">
        <f>Model!R15</f>
        <v>18.170540522827569</v>
      </c>
      <c r="R34" s="210">
        <f>Model!S15</f>
        <v>18.170540522827569</v>
      </c>
      <c r="S34" s="210">
        <f>Model!T15</f>
        <v>18.170540522827569</v>
      </c>
      <c r="T34" s="210">
        <f>Model!U15</f>
        <v>18.170540522827569</v>
      </c>
      <c r="U34" s="210">
        <f>Model!V15</f>
        <v>18.170540522827569</v>
      </c>
      <c r="V34" s="170"/>
      <c r="X34" s="214" t="s">
        <v>600</v>
      </c>
    </row>
    <row r="35" spans="4:24" ht="52.2" customHeight="1" x14ac:dyDescent="0.3">
      <c r="D35" s="185" t="s">
        <v>306</v>
      </c>
      <c r="E35" s="177"/>
      <c r="F35" s="177"/>
      <c r="G35" s="181"/>
      <c r="H35" s="181">
        <f>365/Model!I16</f>
        <v>2.2605616933271611</v>
      </c>
      <c r="I35" s="181">
        <f>365/Model!J16</f>
        <v>1.3057254443147139</v>
      </c>
      <c r="J35" s="181">
        <f>365/Model!K16</f>
        <v>1.4493482863743796</v>
      </c>
      <c r="K35" s="181">
        <f>365/Model!L16</f>
        <v>1.0878639569971755</v>
      </c>
      <c r="L35" s="181">
        <f>365/Model!M16</f>
        <v>1.4197368175537792</v>
      </c>
      <c r="M35" s="181">
        <f>365/Model!N16</f>
        <v>1.4197368175537792</v>
      </c>
      <c r="N35" s="181">
        <f>365/Model!O16</f>
        <v>1.4197368175537792</v>
      </c>
      <c r="O35" s="181">
        <f>365/Model!P16</f>
        <v>1.4197368175537792</v>
      </c>
      <c r="P35" s="181">
        <f>365/Model!Q16</f>
        <v>1.4197368175537792</v>
      </c>
      <c r="Q35" s="181">
        <f>365/Model!R16</f>
        <v>1.4197368175537792</v>
      </c>
      <c r="R35" s="181">
        <f>365/Model!S16</f>
        <v>1.4197368175537792</v>
      </c>
      <c r="S35" s="181">
        <f>365/Model!T16</f>
        <v>1.4197368175537792</v>
      </c>
      <c r="T35" s="181">
        <f>365/Model!U16</f>
        <v>1.4197368175537792</v>
      </c>
      <c r="U35" s="181">
        <f>365/Model!V16</f>
        <v>1.4197368175537792</v>
      </c>
      <c r="V35" s="183"/>
      <c r="X35" s="214" t="s">
        <v>588</v>
      </c>
    </row>
    <row r="36" spans="4:24" ht="52.2" customHeight="1" x14ac:dyDescent="0.3">
      <c r="D36" s="175" t="s">
        <v>307</v>
      </c>
      <c r="G36" s="210"/>
      <c r="H36" s="210">
        <f>Model!I16</f>
        <v>161.46429494820921</v>
      </c>
      <c r="I36" s="210">
        <f>Model!J16</f>
        <v>279.53809247514783</v>
      </c>
      <c r="J36" s="210">
        <f>Model!K16</f>
        <v>251.83732815047964</v>
      </c>
      <c r="K36" s="210">
        <f>Model!L16</f>
        <v>335.51989442458171</v>
      </c>
      <c r="L36" s="210">
        <f>Model!M16</f>
        <v>257.08990249960459</v>
      </c>
      <c r="M36" s="210">
        <f>Model!N16</f>
        <v>257.08990249960459</v>
      </c>
      <c r="N36" s="210">
        <f>Model!O16</f>
        <v>257.08990249960459</v>
      </c>
      <c r="O36" s="210">
        <f>Model!P16</f>
        <v>257.08990249960459</v>
      </c>
      <c r="P36" s="210">
        <f>Model!Q16</f>
        <v>257.08990249960459</v>
      </c>
      <c r="Q36" s="210">
        <f>Model!R16</f>
        <v>257.08990249960459</v>
      </c>
      <c r="R36" s="210">
        <f>Model!S16</f>
        <v>257.08990249960459</v>
      </c>
      <c r="S36" s="210">
        <f>Model!T16</f>
        <v>257.08990249960459</v>
      </c>
      <c r="T36" s="210">
        <f>Model!U16</f>
        <v>257.08990249960459</v>
      </c>
      <c r="U36" s="210">
        <f>Model!V16</f>
        <v>257.08990249960459</v>
      </c>
      <c r="V36" s="170"/>
      <c r="X36" s="214" t="s">
        <v>601</v>
      </c>
    </row>
    <row r="37" spans="4:24" ht="52.2" customHeight="1" x14ac:dyDescent="0.3">
      <c r="D37" s="185" t="s">
        <v>308</v>
      </c>
      <c r="E37" s="177"/>
      <c r="F37" s="177"/>
      <c r="G37" s="181"/>
      <c r="H37" s="181">
        <f>365/Model!I17</f>
        <v>2.6030128864566926</v>
      </c>
      <c r="I37" s="181">
        <f>365/Model!J17</f>
        <v>1.8491090355471074</v>
      </c>
      <c r="J37" s="181">
        <f>365/Model!K17</f>
        <v>2.5097358595275607</v>
      </c>
      <c r="K37" s="181">
        <f>365/Model!L17</f>
        <v>2.0257070720992507</v>
      </c>
      <c r="L37" s="181">
        <f>365/Model!M17</f>
        <v>2.2013409204735925</v>
      </c>
      <c r="M37" s="181">
        <f>365/Model!N17</f>
        <v>2.2013409204735925</v>
      </c>
      <c r="N37" s="181">
        <f>365/Model!O17</f>
        <v>2.2013409204735925</v>
      </c>
      <c r="O37" s="181">
        <f>365/Model!P17</f>
        <v>2.2013409204735925</v>
      </c>
      <c r="P37" s="181">
        <f>365/Model!Q17</f>
        <v>2.2013409204735925</v>
      </c>
      <c r="Q37" s="181">
        <f>365/Model!R17</f>
        <v>2.2013409204735925</v>
      </c>
      <c r="R37" s="181">
        <f>365/Model!S17</f>
        <v>2.2013409204735925</v>
      </c>
      <c r="S37" s="181">
        <f>365/Model!T17</f>
        <v>2.2013409204735925</v>
      </c>
      <c r="T37" s="181">
        <f>365/Model!U17</f>
        <v>2.2013409204735925</v>
      </c>
      <c r="U37" s="181">
        <f>365/Model!V17</f>
        <v>2.2013409204735925</v>
      </c>
      <c r="V37" s="183"/>
      <c r="X37" s="214" t="s">
        <v>589</v>
      </c>
    </row>
    <row r="38" spans="4:24" ht="52.2" customHeight="1" x14ac:dyDescent="0.3">
      <c r="D38" s="175" t="s">
        <v>309</v>
      </c>
      <c r="G38" s="210"/>
      <c r="H38" s="210">
        <f>Model!I17</f>
        <v>140.22212563720731</v>
      </c>
      <c r="I38" s="210">
        <f>Model!J17</f>
        <v>197.39236193392196</v>
      </c>
      <c r="J38" s="210">
        <f>Model!K17</f>
        <v>145.43363143749659</v>
      </c>
      <c r="K38" s="210">
        <f>Model!L17</f>
        <v>180.18399847997205</v>
      </c>
      <c r="L38" s="210">
        <f>Model!M17</f>
        <v>165.80802937214949</v>
      </c>
      <c r="M38" s="210">
        <f>Model!N17</f>
        <v>165.80802937214949</v>
      </c>
      <c r="N38" s="210">
        <f>Model!O17</f>
        <v>165.80802937214949</v>
      </c>
      <c r="O38" s="210">
        <f>Model!P17</f>
        <v>165.80802937214949</v>
      </c>
      <c r="P38" s="210">
        <f>Model!Q17</f>
        <v>165.80802937214949</v>
      </c>
      <c r="Q38" s="210">
        <f>Model!R17</f>
        <v>165.80802937214949</v>
      </c>
      <c r="R38" s="210">
        <f>Model!S17</f>
        <v>165.80802937214949</v>
      </c>
      <c r="S38" s="210">
        <f>Model!T17</f>
        <v>165.80802937214949</v>
      </c>
      <c r="T38" s="210">
        <f>Model!U17</f>
        <v>165.80802937214949</v>
      </c>
      <c r="U38" s="210">
        <f>Model!V17</f>
        <v>165.80802937214949</v>
      </c>
      <c r="V38" s="170"/>
      <c r="X38" s="214" t="s">
        <v>590</v>
      </c>
    </row>
    <row r="39" spans="4:24" ht="52.2" customHeight="1" x14ac:dyDescent="0.3">
      <c r="D39" s="185" t="s">
        <v>310</v>
      </c>
      <c r="E39" s="177"/>
      <c r="F39" s="177"/>
      <c r="G39" s="181"/>
      <c r="H39" s="181">
        <f>Model!I23/AVERAGE(Model!H51:I51)</f>
        <v>3.09497714014105</v>
      </c>
      <c r="I39" s="181">
        <f>Model!J23/AVERAGE(Model!I51:J51)</f>
        <v>2.5881507420243142</v>
      </c>
      <c r="J39" s="181">
        <f>Model!K23/AVERAGE(Model!J51:K51)</f>
        <v>1.6718262941819657</v>
      </c>
      <c r="K39" s="181">
        <f>Model!L23/AVERAGE(Model!K51:L51)</f>
        <v>1.5213785501855757</v>
      </c>
      <c r="L39" s="181">
        <f>Model!M23/AVERAGE(Model!L51:M51)</f>
        <v>1.5962296969592045</v>
      </c>
      <c r="M39" s="181">
        <f>Model!N23/AVERAGE(Model!M51:N51)</f>
        <v>1.4745544877951988</v>
      </c>
      <c r="N39" s="181">
        <f>Model!O23/AVERAGE(Model!N51:O51)</f>
        <v>1.3235809581255151</v>
      </c>
      <c r="O39" s="181">
        <f>Model!P23/AVERAGE(Model!O51:P51)</f>
        <v>1.2809612395307168</v>
      </c>
      <c r="P39" s="181">
        <f>Model!Q23/AVERAGE(Model!P51:Q51)</f>
        <v>1.2795867077349441</v>
      </c>
      <c r="Q39" s="181">
        <f>Model!R23/AVERAGE(Model!Q51:R51)</f>
        <v>1.3180493559592239</v>
      </c>
      <c r="R39" s="181">
        <f>Model!S23/AVERAGE(Model!R51:S51)</f>
        <v>1.4089924821357138</v>
      </c>
      <c r="S39" s="181">
        <f>Model!T23/AVERAGE(Model!S51:T51)</f>
        <v>1.5611758296354992</v>
      </c>
      <c r="T39" s="181">
        <f>Model!U23/AVERAGE(Model!T51:U51)</f>
        <v>1.7796150926952832</v>
      </c>
      <c r="U39" s="181">
        <f>Model!V23/AVERAGE(Model!U51:V51)</f>
        <v>2.12805807914319</v>
      </c>
      <c r="V39" s="183"/>
      <c r="X39" s="214" t="s">
        <v>618</v>
      </c>
    </row>
    <row r="40" spans="4:24" ht="52.2" customHeight="1" thickBot="1" x14ac:dyDescent="0.35">
      <c r="D40" s="186" t="s">
        <v>311</v>
      </c>
      <c r="E40" s="187"/>
      <c r="F40" s="187"/>
      <c r="G40" s="188">
        <f>(Model!H31+Model!H36)/(Model!H65+Model!H73-Model!H43)</f>
        <v>0.11995899955482618</v>
      </c>
      <c r="H40" s="188">
        <f>(Model!I31+Model!I36)/(Model!I65+Model!I73-Model!I43)</f>
        <v>0.11188903664941907</v>
      </c>
      <c r="I40" s="188">
        <f>(Model!J31+Model!J36)/(Model!J65+Model!J73-Model!J43)</f>
        <v>0.11253214561561596</v>
      </c>
      <c r="J40" s="188">
        <f>(Model!K31+Model!K36)/(Model!K65+Model!K73-Model!K43)</f>
        <v>6.3997682049693819E-2</v>
      </c>
      <c r="K40" s="188">
        <f>(Model!L31+Model!L36)/(Model!L65+Model!L73-Model!L43)</f>
        <v>0.12205101332444419</v>
      </c>
      <c r="L40" s="188">
        <f>(Model!M31+Model!M36)/(Model!M65+Model!M73-Model!M43)</f>
        <v>0.11918311801313278</v>
      </c>
      <c r="M40" s="188">
        <f>(Model!N31+Model!N36)/(Model!N65+Model!N73-Model!N43)</f>
        <v>0.10765462416927107</v>
      </c>
      <c r="N40" s="188">
        <f>(Model!O31+Model!O36)/(Model!O65+Model!O73-Model!O43)</f>
        <v>9.190227782692631E-2</v>
      </c>
      <c r="O40" s="188">
        <f ca="1">(Model!P31+Model!P36)/(Model!P65+Model!P73-Model!P43)</f>
        <v>7.6185889477559804E-2</v>
      </c>
      <c r="P40" s="188">
        <f ca="1">(Model!Q31+Model!Q36)/(Model!Q65+Model!Q73-Model!Q43)</f>
        <v>7.5734756491626309E-2</v>
      </c>
      <c r="Q40" s="188">
        <f ca="1">(Model!R31+Model!R36)/(Model!R65+Model!R73-Model!R43)</f>
        <v>7.9786382830124403E-2</v>
      </c>
      <c r="R40" s="188">
        <f ca="1">(Model!S31+Model!S36)/(Model!S65+Model!S73-Model!S43)</f>
        <v>7.8726605634580574E-2</v>
      </c>
      <c r="S40" s="188">
        <f ca="1">(Model!T31+Model!T36)/(Model!T65+Model!T73-Model!T43)</f>
        <v>9.6907545538419085E-2</v>
      </c>
      <c r="T40" s="188">
        <f ca="1">(Model!U31+Model!U36)/(Model!U65+Model!U73-Model!U43)</f>
        <v>0.12340047851502384</v>
      </c>
      <c r="U40" s="188">
        <f ca="1">(Model!V31+Model!V36)/(Model!V65+Model!V73-Model!V43)</f>
        <v>0.15104499546530989</v>
      </c>
      <c r="V40" s="189"/>
      <c r="X40" s="214" t="s">
        <v>617</v>
      </c>
    </row>
    <row r="41" spans="4:24" x14ac:dyDescent="0.3">
      <c r="D41" s="56"/>
    </row>
    <row r="42" spans="4:24" ht="15.6" x14ac:dyDescent="0.3">
      <c r="D42" s="56"/>
      <c r="X42" s="153"/>
    </row>
    <row r="43" spans="4:24" ht="15.6" x14ac:dyDescent="0.3">
      <c r="D43" s="56"/>
      <c r="X43" s="153"/>
    </row>
    <row r="44" spans="4:24" x14ac:dyDescent="0.3">
      <c r="D44" s="56"/>
    </row>
    <row r="45" spans="4:24" x14ac:dyDescent="0.3">
      <c r="D45" s="56"/>
    </row>
    <row r="46" spans="4:24" x14ac:dyDescent="0.3">
      <c r="D46" s="56"/>
    </row>
  </sheetData>
  <mergeCells count="1">
    <mergeCell ref="X1:X3"/>
  </mergeCells>
  <pageMargins left="0.7" right="0.7" top="0.75" bottom="0.75" header="0.3" footer="0.3"/>
  <extLst>
    <ext xmlns:x14="http://schemas.microsoft.com/office/spreadsheetml/2009/9/main" uri="{05C60535-1F16-4fd2-B633-F4F36F0B64E0}">
      <x14:sparklineGroups xmlns:xm="http://schemas.microsoft.com/office/excel/2006/main">
        <x14:sparklineGroup displayEmptyCellsAs="gap" xr2:uid="{34C4906B-7D16-4D51-9560-D460DB769A2A}">
          <x14:colorSeries theme="5" tint="-0.249977111117893"/>
          <x14:colorNegative theme="6"/>
          <x14:colorAxis rgb="FF000000"/>
          <x14:colorMarkers theme="6" tint="-0.249977111117893"/>
          <x14:colorFirst theme="6" tint="-0.249977111117893"/>
          <x14:colorLast theme="6" tint="-0.249977111117893"/>
          <x14:colorHigh theme="6" tint="-0.249977111117893"/>
          <x14:colorLow theme="6" tint="-0.249977111117893"/>
          <x14:sparklines>
            <x14:sparkline>
              <xm:f>'Ratio Analysis'!G39:U39</xm:f>
              <xm:sqref>V39</xm:sqref>
            </x14:sparkline>
            <x14:sparkline>
              <xm:f>'Ratio Analysis'!G40:U40</xm:f>
              <xm:sqref>V40</xm:sqref>
            </x14:sparkline>
          </x14:sparklines>
        </x14:sparklineGroup>
        <x14:sparklineGroup displayEmptyCellsAs="gap" xr2:uid="{8EF85491-2435-4B2E-A98B-DDE075EBE43E}">
          <x14:colorSeries theme="5" tint="-0.249977111117893"/>
          <x14:colorNegative theme="6"/>
          <x14:colorAxis rgb="FF000000"/>
          <x14:colorMarkers theme="6" tint="-0.249977111117893"/>
          <x14:colorFirst theme="6" tint="-0.249977111117893"/>
          <x14:colorLast theme="6" tint="-0.249977111117893"/>
          <x14:colorHigh theme="6" tint="-0.249977111117893"/>
          <x14:colorLow theme="6" tint="-0.249977111117893"/>
          <x14:sparklines>
            <x14:sparkline>
              <xm:f>'Ratio Analysis'!G20:U20</xm:f>
              <xm:sqref>V20</xm:sqref>
            </x14:sparkline>
          </x14:sparklines>
        </x14:sparklineGroup>
        <x14:sparklineGroup displayEmptyCellsAs="gap" xr2:uid="{BD2D5D75-201E-4C7C-AC28-98DFDB701639}">
          <x14:colorSeries theme="5" tint="-0.249977111117893"/>
          <x14:colorNegative theme="6"/>
          <x14:colorAxis rgb="FF000000"/>
          <x14:colorMarkers theme="6" tint="-0.249977111117893"/>
          <x14:colorFirst theme="6" tint="-0.249977111117893"/>
          <x14:colorLast theme="6" tint="-0.249977111117893"/>
          <x14:colorHigh theme="6" tint="-0.249977111117893"/>
          <x14:colorLow theme="6" tint="-0.249977111117893"/>
          <x14:sparklines>
            <x14:sparkline>
              <xm:f>'Ratio Analysis'!G17:U17</xm:f>
              <xm:sqref>V17</xm:sqref>
            </x14:sparkline>
          </x14:sparklines>
        </x14:sparklineGroup>
        <x14:sparklineGroup displayEmptyCellsAs="gap" xr2:uid="{9E6123E7-B081-48BC-BB94-D8C1D4C9E53D}">
          <x14:colorSeries theme="5" tint="-0.249977111117893"/>
          <x14:colorNegative theme="6"/>
          <x14:colorAxis rgb="FF000000"/>
          <x14:colorMarkers theme="6" tint="-0.249977111117893"/>
          <x14:colorFirst theme="6" tint="-0.249977111117893"/>
          <x14:colorLast theme="6" tint="-0.249977111117893"/>
          <x14:colorHigh theme="6" tint="-0.249977111117893"/>
          <x14:colorLow theme="6" tint="-0.249977111117893"/>
          <x14:sparklines>
            <x14:sparkline>
              <xm:f>'Ratio Analysis'!G6:U6</xm:f>
              <xm:sqref>V6</xm:sqref>
            </x14:sparkline>
            <x14:sparkline>
              <xm:f>'Ratio Analysis'!G7:U7</xm:f>
              <xm:sqref>V7</xm:sqref>
            </x14:sparkline>
            <x14:sparkline>
              <xm:f>'Ratio Analysis'!G8:U8</xm:f>
              <xm:sqref>V8</xm:sqref>
            </x14:sparkline>
            <x14:sparkline>
              <xm:f>'Ratio Analysis'!G9:U9</xm:f>
              <xm:sqref>V9</xm:sqref>
            </x14:sparkline>
            <x14:sparkline>
              <xm:f>'Ratio Analysis'!G10:U10</xm:f>
              <xm:sqref>V10</xm:sqref>
            </x14:sparkline>
            <x14:sparkline>
              <xm:f>'Ratio Analysis'!G11:U11</xm:f>
              <xm:sqref>V11</xm:sqref>
            </x14:sparkline>
            <x14:sparkline>
              <xm:f>'Ratio Analysis'!G12:U12</xm:f>
              <xm:sqref>V12</xm:sqref>
            </x14:sparkline>
            <x14:sparkline>
              <xm:f>'Ratio Analysis'!G13:U13</xm:f>
              <xm:sqref>V13</xm:sqref>
            </x14:sparkline>
            <x14:sparkline>
              <xm:f>'Ratio Analysis'!G14:U14</xm:f>
              <xm:sqref>V14</xm:sqref>
            </x14:sparkline>
            <x14:sparkline>
              <xm:f>'Ratio Analysis'!G15:U15</xm:f>
              <xm:sqref>V15</xm:sqref>
            </x14:sparkline>
            <x14:sparkline>
              <xm:f>'Ratio Analysis'!G16:U16</xm:f>
              <xm:sqref>V16</xm:sqref>
            </x14:sparkline>
            <x14:sparkline>
              <xm:f>'Ratio Analysis'!G18:U18</xm:f>
              <xm:sqref>V18</xm:sqref>
            </x14:sparkline>
            <x14:sparkline>
              <xm:f>'Ratio Analysis'!G19:U19</xm:f>
              <xm:sqref>V19</xm:sqref>
            </x14:sparkline>
            <x14:sparkline>
              <xm:f>'Ratio Analysis'!G21:U21</xm:f>
              <xm:sqref>V21</xm:sqref>
            </x14:sparkline>
            <x14:sparkline>
              <xm:f>'Ratio Analysis'!G22:U22</xm:f>
              <xm:sqref>V22</xm:sqref>
            </x14:sparkline>
            <x14:sparkline>
              <xm:f>'Ratio Analysis'!G23:U23</xm:f>
              <xm:sqref>V23</xm:sqref>
            </x14:sparkline>
            <x14:sparkline>
              <xm:f>'Ratio Analysis'!G24:U24</xm:f>
              <xm:sqref>V24</xm:sqref>
            </x14:sparkline>
            <x14:sparkline>
              <xm:f>'Ratio Analysis'!G25:U25</xm:f>
              <xm:sqref>V25</xm:sqref>
            </x14:sparkline>
            <x14:sparkline>
              <xm:f>'Ratio Analysis'!G26:U26</xm:f>
              <xm:sqref>V26</xm:sqref>
            </x14:sparkline>
            <x14:sparkline>
              <xm:f>'Ratio Analysis'!G27:U27</xm:f>
              <xm:sqref>V27</xm:sqref>
            </x14:sparkline>
            <x14:sparkline>
              <xm:f>'Ratio Analysis'!G28:U28</xm:f>
              <xm:sqref>V28</xm:sqref>
            </x14:sparkline>
            <x14:sparkline>
              <xm:f>'Ratio Analysis'!G29:U29</xm:f>
              <xm:sqref>V29</xm:sqref>
            </x14:sparkline>
            <x14:sparkline>
              <xm:f>'Ratio Analysis'!G30:U30</xm:f>
              <xm:sqref>V30</xm:sqref>
            </x14:sparkline>
            <x14:sparkline>
              <xm:f>'Ratio Analysis'!G31:U31</xm:f>
              <xm:sqref>V31</xm:sqref>
            </x14:sparkline>
            <x14:sparkline>
              <xm:f>'Ratio Analysis'!G32:U32</xm:f>
              <xm:sqref>V32</xm:sqref>
            </x14:sparkline>
            <x14:sparkline>
              <xm:f>'Ratio Analysis'!G33:U33</xm:f>
              <xm:sqref>V33</xm:sqref>
            </x14:sparkline>
            <x14:sparkline>
              <xm:f>'Ratio Analysis'!G34:U34</xm:f>
              <xm:sqref>V34</xm:sqref>
            </x14:sparkline>
            <x14:sparkline>
              <xm:f>'Ratio Analysis'!G35:U35</xm:f>
              <xm:sqref>V35</xm:sqref>
            </x14:sparkline>
            <x14:sparkline>
              <xm:f>'Ratio Analysis'!G36:U36</xm:f>
              <xm:sqref>V36</xm:sqref>
            </x14:sparkline>
            <x14:sparkline>
              <xm:f>'Ratio Analysis'!G37:U37</xm:f>
              <xm:sqref>V37</xm:sqref>
            </x14:sparkline>
            <x14:sparkline>
              <xm:f>'Ratio Analysis'!G38:U38</xm:f>
              <xm:sqref>V38</xm:sqref>
            </x14:sparkline>
          </x14:sparklines>
        </x14:sparklineGroup>
      </x14:sparklineGroup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2F2E7D-E89C-4B66-95AF-A32180F7F7F1}">
  <sheetPr codeName="Sheet4"/>
  <dimension ref="A1:U41"/>
  <sheetViews>
    <sheetView showGridLines="0" topLeftCell="A27" zoomScale="79" zoomScaleNormal="99" workbookViewId="0">
      <selection activeCell="N28" sqref="N28"/>
    </sheetView>
  </sheetViews>
  <sheetFormatPr defaultColWidth="11.77734375" defaultRowHeight="14.4" x14ac:dyDescent="0.3"/>
  <cols>
    <col min="1" max="3" width="1.33203125" customWidth="1"/>
    <col min="4" max="4" width="26.44140625" customWidth="1"/>
    <col min="5" max="6" width="12.77734375" customWidth="1"/>
    <col min="7" max="7" width="2.77734375" customWidth="1"/>
  </cols>
  <sheetData>
    <row r="1" spans="1:17" ht="32.4" x14ac:dyDescent="0.6">
      <c r="A1" s="3" t="s">
        <v>408</v>
      </c>
      <c r="B1" s="4"/>
      <c r="C1" s="4"/>
      <c r="D1" s="5"/>
      <c r="E1" s="5"/>
      <c r="F1" s="5"/>
      <c r="G1" s="5"/>
      <c r="H1" s="5"/>
      <c r="I1" s="5"/>
      <c r="J1" s="5"/>
      <c r="K1" s="5"/>
      <c r="L1" s="5"/>
      <c r="M1" s="5"/>
      <c r="N1" s="5"/>
      <c r="O1" s="5"/>
      <c r="P1" s="5"/>
      <c r="Q1" s="5"/>
    </row>
    <row r="2" spans="1:17" ht="23.4" x14ac:dyDescent="0.45">
      <c r="A2" s="61" t="s">
        <v>103</v>
      </c>
      <c r="B2" s="13"/>
      <c r="C2" s="4"/>
      <c r="D2" s="5"/>
      <c r="E2" s="5"/>
      <c r="F2" s="5"/>
      <c r="G2" s="5"/>
      <c r="H2" s="5"/>
      <c r="I2" s="5"/>
      <c r="J2" s="5"/>
      <c r="K2" s="5"/>
      <c r="L2" s="5"/>
      <c r="M2" s="5"/>
      <c r="N2" s="5"/>
      <c r="O2" s="5"/>
      <c r="P2" s="5"/>
      <c r="Q2" s="5"/>
    </row>
    <row r="3" spans="1:17" x14ac:dyDescent="0.3">
      <c r="A3" s="1"/>
      <c r="B3" s="1"/>
      <c r="C3" s="1"/>
    </row>
    <row r="4" spans="1:17" x14ac:dyDescent="0.3">
      <c r="A4" s="1"/>
      <c r="B4" s="1"/>
      <c r="C4" s="16" t="s">
        <v>103</v>
      </c>
      <c r="E4" s="2" t="s">
        <v>104</v>
      </c>
      <c r="H4" s="2">
        <v>2027</v>
      </c>
      <c r="I4" s="2">
        <f>H4+1</f>
        <v>2028</v>
      </c>
      <c r="J4" s="2">
        <f t="shared" ref="J4:Q4" si="0">I4+1</f>
        <v>2029</v>
      </c>
      <c r="K4" s="2">
        <f t="shared" si="0"/>
        <v>2030</v>
      </c>
      <c r="L4" s="2">
        <f t="shared" si="0"/>
        <v>2031</v>
      </c>
      <c r="M4" s="2">
        <f t="shared" si="0"/>
        <v>2032</v>
      </c>
      <c r="N4" s="2">
        <f t="shared" si="0"/>
        <v>2033</v>
      </c>
      <c r="O4" s="2">
        <f t="shared" si="0"/>
        <v>2034</v>
      </c>
      <c r="P4" s="2">
        <f t="shared" si="0"/>
        <v>2035</v>
      </c>
      <c r="Q4" s="2">
        <f t="shared" si="0"/>
        <v>2036</v>
      </c>
    </row>
    <row r="5" spans="1:17" x14ac:dyDescent="0.3">
      <c r="A5" s="1"/>
      <c r="B5" s="1"/>
      <c r="C5" s="1"/>
      <c r="D5" t="s">
        <v>105</v>
      </c>
      <c r="E5" s="33">
        <v>0.13</v>
      </c>
      <c r="H5" s="34" cm="1">
        <f t="array" ref="H5:H7">E5:E7</f>
        <v>0.13</v>
      </c>
      <c r="I5" s="34">
        <f>H5*(1-$E$8)</f>
        <v>0.11700000000000001</v>
      </c>
      <c r="J5" s="34">
        <f t="shared" ref="J5:Q7" si="1">I5*(1-$E$8)</f>
        <v>0.1053</v>
      </c>
      <c r="K5" s="34">
        <f t="shared" si="1"/>
        <v>9.4770000000000007E-2</v>
      </c>
      <c r="L5" s="34">
        <f t="shared" si="1"/>
        <v>8.5293000000000008E-2</v>
      </c>
      <c r="M5" s="34">
        <f t="shared" si="1"/>
        <v>7.6763700000000004E-2</v>
      </c>
      <c r="N5" s="34">
        <f t="shared" si="1"/>
        <v>6.9087330000000002E-2</v>
      </c>
      <c r="O5" s="34">
        <f t="shared" si="1"/>
        <v>6.2178597000000002E-2</v>
      </c>
      <c r="P5" s="34">
        <f t="shared" si="1"/>
        <v>5.5960737300000001E-2</v>
      </c>
      <c r="Q5" s="34">
        <f t="shared" si="1"/>
        <v>5.0364663570000003E-2</v>
      </c>
    </row>
    <row r="6" spans="1:17" x14ac:dyDescent="0.3">
      <c r="A6" s="1"/>
      <c r="B6" s="1"/>
      <c r="C6" s="1"/>
      <c r="D6" t="s">
        <v>90</v>
      </c>
      <c r="E6" s="33">
        <f>MAX(Model!H7:L7)</f>
        <v>0.22248176174192258</v>
      </c>
      <c r="H6" s="34">
        <v>0.22248176174192258</v>
      </c>
      <c r="I6" s="34">
        <f>H6*(1-$E$8)</f>
        <v>0.20023358556773033</v>
      </c>
      <c r="J6" s="34">
        <f t="shared" si="1"/>
        <v>0.18021022701095729</v>
      </c>
      <c r="K6" s="34">
        <f t="shared" si="1"/>
        <v>0.16218920430986156</v>
      </c>
      <c r="L6" s="34">
        <f t="shared" si="1"/>
        <v>0.1459702838788754</v>
      </c>
      <c r="M6" s="34">
        <f t="shared" si="1"/>
        <v>0.13137325549098786</v>
      </c>
      <c r="N6" s="34">
        <f t="shared" si="1"/>
        <v>0.11823592994188907</v>
      </c>
      <c r="O6" s="34">
        <f t="shared" si="1"/>
        <v>0.10641233694770016</v>
      </c>
      <c r="P6" s="34">
        <f t="shared" si="1"/>
        <v>9.5771103252930145E-2</v>
      </c>
      <c r="Q6" s="34">
        <f t="shared" si="1"/>
        <v>8.6193992927637131E-2</v>
      </c>
    </row>
    <row r="7" spans="1:17" x14ac:dyDescent="0.3">
      <c r="A7" s="1"/>
      <c r="B7" s="1"/>
      <c r="C7" s="1"/>
      <c r="D7" t="s">
        <v>106</v>
      </c>
      <c r="E7" s="33">
        <v>7.4999999999999997E-2</v>
      </c>
      <c r="H7" s="34">
        <v>7.4999999999999997E-2</v>
      </c>
      <c r="I7" s="34">
        <f>H7*(1-$E$8)</f>
        <v>6.7500000000000004E-2</v>
      </c>
      <c r="J7" s="34">
        <f t="shared" si="1"/>
        <v>6.0750000000000005E-2</v>
      </c>
      <c r="K7" s="34">
        <f t="shared" si="1"/>
        <v>5.4675000000000008E-2</v>
      </c>
      <c r="L7" s="34">
        <f t="shared" si="1"/>
        <v>4.9207500000000008E-2</v>
      </c>
      <c r="M7" s="34">
        <f t="shared" si="1"/>
        <v>4.4286750000000007E-2</v>
      </c>
      <c r="N7" s="34">
        <f t="shared" si="1"/>
        <v>3.9858075000000007E-2</v>
      </c>
      <c r="O7" s="34">
        <f>N7</f>
        <v>3.9858075000000007E-2</v>
      </c>
      <c r="P7" s="34">
        <f t="shared" ref="P7:Q7" si="2">O7</f>
        <v>3.9858075000000007E-2</v>
      </c>
      <c r="Q7" s="34">
        <f t="shared" si="2"/>
        <v>3.9858075000000007E-2</v>
      </c>
    </row>
    <row r="8" spans="1:17" x14ac:dyDescent="0.3">
      <c r="A8" s="1"/>
      <c r="B8" s="1"/>
      <c r="C8" s="1"/>
      <c r="D8" t="s">
        <v>107</v>
      </c>
      <c r="E8" s="33">
        <v>0.1</v>
      </c>
    </row>
    <row r="9" spans="1:17" x14ac:dyDescent="0.3">
      <c r="D9" t="s">
        <v>546</v>
      </c>
      <c r="E9" s="34">
        <v>0.16769999999999999</v>
      </c>
    </row>
    <row r="10" spans="1:17" x14ac:dyDescent="0.3">
      <c r="D10" t="s">
        <v>622</v>
      </c>
      <c r="E10" s="51">
        <f>AVERAGE(Model!I7:L7)</f>
        <v>0.14109514084880148</v>
      </c>
    </row>
    <row r="11" spans="1:17" x14ac:dyDescent="0.3">
      <c r="E11" s="34"/>
    </row>
    <row r="12" spans="1:17" x14ac:dyDescent="0.3">
      <c r="D12" s="2" t="s">
        <v>177</v>
      </c>
      <c r="E12" s="34"/>
    </row>
    <row r="13" spans="1:17" x14ac:dyDescent="0.3">
      <c r="D13" s="2" t="str" cm="1">
        <f t="array" ref="D13:D15">D5:D7</f>
        <v>Base Case</v>
      </c>
      <c r="E13" s="259" t="s">
        <v>605</v>
      </c>
    </row>
    <row r="14" spans="1:17" x14ac:dyDescent="0.3">
      <c r="D14" s="2" t="str">
        <v>Bull Case</v>
      </c>
      <c r="E14" s="259" t="s">
        <v>606</v>
      </c>
    </row>
    <row r="15" spans="1:17" x14ac:dyDescent="0.3">
      <c r="D15" s="2" t="str">
        <v>Bear Case</v>
      </c>
      <c r="E15" s="259" t="s">
        <v>607</v>
      </c>
    </row>
    <row r="18" spans="4:21" ht="23.4" x14ac:dyDescent="0.45">
      <c r="D18" s="152"/>
      <c r="O18" s="152"/>
      <c r="U18" s="152"/>
    </row>
    <row r="19" spans="4:21" ht="18" x14ac:dyDescent="0.35">
      <c r="D19" s="255" t="s">
        <v>602</v>
      </c>
      <c r="O19" s="255" t="s">
        <v>603</v>
      </c>
    </row>
    <row r="41" spans="4:4" ht="18" x14ac:dyDescent="0.35">
      <c r="D41" s="255" t="s">
        <v>604</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04076-95C0-4210-A168-0A43C1ED9488}">
  <sheetPr codeName="Sheet5"/>
  <dimension ref="B1:V16"/>
  <sheetViews>
    <sheetView showGridLines="0" topLeftCell="A2" workbookViewId="0">
      <pane xSplit="3" topLeftCell="E1" activePane="topRight" state="frozen"/>
      <selection pane="topRight" activeCell="F14" sqref="F14"/>
    </sheetView>
  </sheetViews>
  <sheetFormatPr defaultRowHeight="14.4" x14ac:dyDescent="0.3"/>
  <cols>
    <col min="1" max="1" width="3" customWidth="1"/>
    <col min="2" max="2" width="7.33203125" bestFit="1" customWidth="1"/>
    <col min="3" max="3" width="13.44140625" bestFit="1" customWidth="1"/>
    <col min="4" max="21" width="13.88671875" customWidth="1"/>
  </cols>
  <sheetData>
    <row r="1" spans="2:22" x14ac:dyDescent="0.3">
      <c r="B1" s="142"/>
      <c r="C1" s="143"/>
      <c r="D1" s="143"/>
      <c r="E1" s="143"/>
      <c r="F1" s="143"/>
      <c r="G1" s="143"/>
      <c r="H1" s="143"/>
      <c r="I1" s="143"/>
      <c r="J1" s="143"/>
      <c r="K1" s="143"/>
      <c r="L1" s="143"/>
      <c r="M1" s="143"/>
      <c r="N1" s="143"/>
      <c r="O1" s="143"/>
      <c r="P1" s="143"/>
      <c r="Q1" s="143"/>
      <c r="R1" s="143"/>
      <c r="S1" s="143"/>
      <c r="T1" s="143"/>
      <c r="U1" s="143"/>
      <c r="V1" s="143"/>
    </row>
    <row r="2" spans="2:22" ht="46.2" customHeight="1" x14ac:dyDescent="0.3">
      <c r="B2" s="144" t="s">
        <v>125</v>
      </c>
      <c r="C2" s="145" t="s">
        <v>126</v>
      </c>
      <c r="D2" s="145" t="s">
        <v>130</v>
      </c>
      <c r="E2" s="145" t="s">
        <v>127</v>
      </c>
      <c r="F2" s="145" t="s">
        <v>525</v>
      </c>
      <c r="G2" s="145" t="s">
        <v>128</v>
      </c>
      <c r="H2" s="145" t="s">
        <v>132</v>
      </c>
      <c r="I2" s="145" t="s">
        <v>133</v>
      </c>
      <c r="J2" s="145" t="s">
        <v>134</v>
      </c>
      <c r="K2" s="145" t="s">
        <v>135</v>
      </c>
      <c r="L2" s="145" t="s">
        <v>129</v>
      </c>
      <c r="M2" s="145" t="s">
        <v>136</v>
      </c>
      <c r="N2" s="145" t="s">
        <v>137</v>
      </c>
      <c r="O2" s="145" t="s">
        <v>526</v>
      </c>
      <c r="P2" s="145" t="s">
        <v>527</v>
      </c>
      <c r="Q2" s="145" t="s">
        <v>528</v>
      </c>
      <c r="R2" s="145" t="s">
        <v>131</v>
      </c>
      <c r="S2" s="145" t="s">
        <v>529</v>
      </c>
      <c r="T2" s="145" t="s">
        <v>544</v>
      </c>
      <c r="U2" s="145" t="s">
        <v>180</v>
      </c>
      <c r="V2" s="145" t="s">
        <v>138</v>
      </c>
    </row>
    <row r="3" spans="2:22" x14ac:dyDescent="0.3">
      <c r="B3" s="50">
        <v>1</v>
      </c>
      <c r="C3" t="s">
        <v>530</v>
      </c>
      <c r="D3" s="44">
        <v>11943.75</v>
      </c>
      <c r="E3" s="44">
        <v>40.86</v>
      </c>
      <c r="F3" s="44">
        <v>351957.43</v>
      </c>
      <c r="G3" s="44">
        <v>20.63</v>
      </c>
      <c r="H3" s="44">
        <v>29.47</v>
      </c>
      <c r="I3" s="44">
        <v>29.47</v>
      </c>
      <c r="J3" s="44">
        <v>23755.09</v>
      </c>
      <c r="K3" s="44">
        <v>374328.17</v>
      </c>
      <c r="L3" s="44">
        <v>110.67</v>
      </c>
      <c r="M3" s="44">
        <v>17457.54</v>
      </c>
      <c r="N3" s="44">
        <v>8624.5499999999993</v>
      </c>
      <c r="O3" s="44">
        <v>91884.28</v>
      </c>
      <c r="P3" s="44">
        <v>8188.35</v>
      </c>
      <c r="Q3" s="44">
        <v>11.1</v>
      </c>
      <c r="R3" s="44">
        <v>12.66</v>
      </c>
      <c r="S3" s="44">
        <v>13404.58</v>
      </c>
      <c r="T3" s="44">
        <v>11967.25</v>
      </c>
      <c r="U3" s="250">
        <v>0.16051272240290798</v>
      </c>
      <c r="V3" s="44">
        <v>1.1519999999999999</v>
      </c>
    </row>
    <row r="4" spans="2:22" x14ac:dyDescent="0.3">
      <c r="B4" s="52">
        <v>2</v>
      </c>
      <c r="C4" s="53" t="s">
        <v>531</v>
      </c>
      <c r="D4" s="44">
        <v>3130.3</v>
      </c>
      <c r="E4" s="44">
        <v>42.57</v>
      </c>
      <c r="F4" s="44">
        <v>213025.83</v>
      </c>
      <c r="G4" s="44">
        <v>11.61</v>
      </c>
      <c r="H4" s="44">
        <v>68.05</v>
      </c>
      <c r="I4" s="44">
        <v>68.05</v>
      </c>
      <c r="J4" s="44">
        <v>227853.06</v>
      </c>
      <c r="K4" s="44">
        <v>434690.63</v>
      </c>
      <c r="L4" s="44">
        <v>-6.6</v>
      </c>
      <c r="M4" s="44">
        <v>37454.089999999997</v>
      </c>
      <c r="N4" s="44">
        <v>5004.75</v>
      </c>
      <c r="O4" s="44">
        <v>175430.74</v>
      </c>
      <c r="P4" s="44">
        <v>10300.290000000001</v>
      </c>
      <c r="Q4" s="44">
        <v>4.9800000000000004</v>
      </c>
      <c r="R4" s="44">
        <v>8.01</v>
      </c>
      <c r="S4" s="44">
        <v>29728.15</v>
      </c>
      <c r="T4" s="44">
        <v>3125.5</v>
      </c>
      <c r="U4" s="250">
        <v>0.28349999999999997</v>
      </c>
      <c r="V4" s="44">
        <v>1.1639999999999999</v>
      </c>
    </row>
    <row r="5" spans="2:22" x14ac:dyDescent="0.3">
      <c r="B5" s="54">
        <v>3</v>
      </c>
      <c r="C5" s="53" t="s">
        <v>532</v>
      </c>
      <c r="D5" s="44">
        <v>440.1</v>
      </c>
      <c r="E5" s="44">
        <v>23.22</v>
      </c>
      <c r="F5" s="44">
        <v>109356.77</v>
      </c>
      <c r="G5" s="44">
        <v>15.76</v>
      </c>
      <c r="H5" s="44">
        <v>248.48</v>
      </c>
      <c r="I5" s="44">
        <v>246.31</v>
      </c>
      <c r="J5" s="44">
        <v>865.93</v>
      </c>
      <c r="K5" s="44">
        <v>109264.1</v>
      </c>
      <c r="L5" s="44">
        <v>-63.06</v>
      </c>
      <c r="M5" s="44">
        <v>7428.67</v>
      </c>
      <c r="N5" s="44">
        <v>4708.12</v>
      </c>
      <c r="O5" s="44">
        <v>39867.14</v>
      </c>
      <c r="P5" s="44">
        <v>5637.08</v>
      </c>
      <c r="Q5" s="44">
        <v>8.85</v>
      </c>
      <c r="R5" s="44">
        <v>5.61</v>
      </c>
      <c r="S5" s="44">
        <v>3251.64</v>
      </c>
      <c r="T5" s="44">
        <v>440.05</v>
      </c>
      <c r="U5" s="250">
        <v>0.2036056854965464</v>
      </c>
      <c r="V5" s="44">
        <v>1.1639999999999999</v>
      </c>
    </row>
    <row r="6" spans="2:22" x14ac:dyDescent="0.3">
      <c r="B6" s="54">
        <v>4</v>
      </c>
      <c r="C6" s="53" t="s">
        <v>533</v>
      </c>
      <c r="D6" s="44">
        <v>26844.3</v>
      </c>
      <c r="E6" s="44">
        <v>59.42</v>
      </c>
      <c r="F6" s="44">
        <v>96856.23</v>
      </c>
      <c r="G6" s="44">
        <v>18.87</v>
      </c>
      <c r="H6" s="44">
        <v>3.61</v>
      </c>
      <c r="I6" s="44">
        <v>3.61</v>
      </c>
      <c r="J6" s="44">
        <v>1868.14</v>
      </c>
      <c r="K6" s="44">
        <v>98382.58</v>
      </c>
      <c r="L6" s="44">
        <v>97.1</v>
      </c>
      <c r="M6" s="44">
        <v>5249.56</v>
      </c>
      <c r="N6" s="44">
        <v>1630.09</v>
      </c>
      <c r="O6" s="44">
        <v>21895.72</v>
      </c>
      <c r="P6" s="44">
        <v>1748.66</v>
      </c>
      <c r="Q6" s="44">
        <v>7.51</v>
      </c>
      <c r="R6" s="44">
        <v>10.27</v>
      </c>
      <c r="S6" s="44">
        <v>2388.66</v>
      </c>
      <c r="T6" s="44">
        <v>26884.65</v>
      </c>
      <c r="U6" s="250">
        <v>0.2096755393873958</v>
      </c>
      <c r="V6" s="44">
        <v>1.0069999999999999</v>
      </c>
    </row>
    <row r="7" spans="2:22" x14ac:dyDescent="0.3">
      <c r="B7" s="54">
        <v>5</v>
      </c>
      <c r="C7" s="53" t="s">
        <v>534</v>
      </c>
      <c r="D7" s="44">
        <v>5512.35</v>
      </c>
      <c r="E7" s="44">
        <v>43.6</v>
      </c>
      <c r="F7" s="44">
        <v>42592.97</v>
      </c>
      <c r="G7" s="44">
        <v>19.23</v>
      </c>
      <c r="H7" s="44">
        <v>7.73</v>
      </c>
      <c r="I7" s="44">
        <v>7.73</v>
      </c>
      <c r="J7" s="44">
        <v>6182.99</v>
      </c>
      <c r="K7" s="44">
        <v>48306.85</v>
      </c>
      <c r="L7" s="44">
        <v>194.51</v>
      </c>
      <c r="M7" s="44">
        <v>2567.5300000000002</v>
      </c>
      <c r="N7" s="44">
        <v>976.47</v>
      </c>
      <c r="O7" s="44">
        <v>14401.49</v>
      </c>
      <c r="P7" s="44">
        <v>987.99</v>
      </c>
      <c r="Q7" s="44">
        <v>15.61</v>
      </c>
      <c r="R7" s="44">
        <v>15.1</v>
      </c>
      <c r="S7" s="44">
        <v>1838.48</v>
      </c>
      <c r="T7" s="44">
        <v>5494.8</v>
      </c>
      <c r="U7" s="250">
        <v>0.4804141448277981</v>
      </c>
      <c r="V7" s="44">
        <v>1.214</v>
      </c>
    </row>
    <row r="8" spans="2:22" x14ac:dyDescent="0.3">
      <c r="B8" s="54">
        <v>6</v>
      </c>
      <c r="C8" s="53" t="s">
        <v>535</v>
      </c>
      <c r="D8" s="44">
        <v>1811</v>
      </c>
      <c r="E8" s="44">
        <v>30.91</v>
      </c>
      <c r="F8" s="44">
        <v>33968.199999999997</v>
      </c>
      <c r="G8" s="44">
        <v>12.41</v>
      </c>
      <c r="H8" s="44">
        <v>18.760000000000002</v>
      </c>
      <c r="I8" s="44">
        <v>18.760000000000002</v>
      </c>
      <c r="J8" s="44">
        <v>7406</v>
      </c>
      <c r="K8" s="44">
        <v>41150.199999999997</v>
      </c>
      <c r="L8" s="44">
        <v>-283.12</v>
      </c>
      <c r="M8" s="44">
        <v>3199</v>
      </c>
      <c r="N8" s="44">
        <v>1098.42</v>
      </c>
      <c r="O8" s="44">
        <v>15058</v>
      </c>
      <c r="P8" s="44">
        <v>1157</v>
      </c>
      <c r="Q8" s="44">
        <v>6.11</v>
      </c>
      <c r="R8" s="44">
        <v>7.59</v>
      </c>
      <c r="S8" s="44">
        <v>1929</v>
      </c>
      <c r="T8" s="44">
        <v>1810</v>
      </c>
      <c r="U8" s="250">
        <v>0.20392928023888857</v>
      </c>
      <c r="V8" s="44">
        <v>1.244</v>
      </c>
    </row>
    <row r="9" spans="2:22" x14ac:dyDescent="0.3">
      <c r="B9" s="54">
        <v>7</v>
      </c>
      <c r="C9" t="s">
        <v>536</v>
      </c>
      <c r="D9" s="44">
        <v>1388</v>
      </c>
      <c r="E9" s="44">
        <v>13.75</v>
      </c>
      <c r="F9" s="44">
        <v>26064.880000000001</v>
      </c>
      <c r="G9" s="44">
        <v>8.58</v>
      </c>
      <c r="H9" s="44">
        <v>18.78</v>
      </c>
      <c r="I9" s="44">
        <v>18.78</v>
      </c>
      <c r="J9" s="44">
        <v>428.61</v>
      </c>
      <c r="K9" s="44">
        <v>25935.759999999998</v>
      </c>
      <c r="L9" s="44">
        <v>-79.13</v>
      </c>
      <c r="M9" s="44">
        <v>3366.76</v>
      </c>
      <c r="N9" s="44">
        <v>1899.74</v>
      </c>
      <c r="O9" s="44">
        <v>25441.73</v>
      </c>
      <c r="P9" s="44">
        <v>2137.23</v>
      </c>
      <c r="Q9" s="44">
        <v>10.86</v>
      </c>
      <c r="R9" s="44">
        <v>11.25</v>
      </c>
      <c r="S9" s="44">
        <v>1898.25</v>
      </c>
      <c r="T9" s="44">
        <v>1388.2</v>
      </c>
      <c r="U9" s="250">
        <v>0.29358227968037731</v>
      </c>
      <c r="V9" s="44">
        <v>1.1200000000000001</v>
      </c>
    </row>
    <row r="10" spans="2:22" x14ac:dyDescent="0.3">
      <c r="B10" s="54">
        <v>8</v>
      </c>
      <c r="C10" t="s">
        <v>537</v>
      </c>
      <c r="D10" s="44">
        <v>944.15</v>
      </c>
      <c r="E10" s="44">
        <v>753.09</v>
      </c>
      <c r="F10" s="44">
        <v>22309.58</v>
      </c>
      <c r="G10" s="44">
        <v>17.559999999999999</v>
      </c>
      <c r="H10" s="44">
        <v>23.63</v>
      </c>
      <c r="I10" s="44">
        <v>23.63</v>
      </c>
      <c r="J10" s="44">
        <v>3871.1</v>
      </c>
      <c r="K10" s="44">
        <v>25953.39</v>
      </c>
      <c r="L10" s="44">
        <v>40.39</v>
      </c>
      <c r="M10" s="44">
        <v>1478.02</v>
      </c>
      <c r="N10" s="44">
        <v>698.65</v>
      </c>
      <c r="O10" s="44">
        <v>9028.76</v>
      </c>
      <c r="P10" s="44">
        <v>698.79</v>
      </c>
      <c r="Q10" s="44">
        <v>0.38</v>
      </c>
      <c r="R10" s="44">
        <v>6.13</v>
      </c>
      <c r="S10" s="44">
        <v>737.86</v>
      </c>
      <c r="T10" s="44">
        <v>945.95</v>
      </c>
      <c r="U10" s="250">
        <v>0.32532741716166891</v>
      </c>
      <c r="V10" s="44">
        <v>0.97</v>
      </c>
    </row>
    <row r="11" spans="2:22" x14ac:dyDescent="0.3">
      <c r="B11" s="54">
        <v>9</v>
      </c>
      <c r="C11" t="s">
        <v>538</v>
      </c>
      <c r="D11" s="44">
        <v>131.75</v>
      </c>
      <c r="E11" s="44">
        <v>27.53</v>
      </c>
      <c r="F11" s="44">
        <v>17962.330000000002</v>
      </c>
      <c r="G11" s="44">
        <v>15.38</v>
      </c>
      <c r="H11" s="44">
        <v>136.34</v>
      </c>
      <c r="I11" s="44">
        <v>101.89</v>
      </c>
      <c r="J11" s="44">
        <v>4464.3900000000003</v>
      </c>
      <c r="K11" s="44">
        <v>21926.98</v>
      </c>
      <c r="L11" s="44">
        <v>-74.31</v>
      </c>
      <c r="M11" s="44">
        <v>1425.22</v>
      </c>
      <c r="N11" s="44">
        <v>653.23</v>
      </c>
      <c r="O11" s="44">
        <v>6501.28</v>
      </c>
      <c r="P11" s="44">
        <v>-798.78</v>
      </c>
      <c r="Q11" s="44">
        <v>14.67</v>
      </c>
      <c r="R11" s="44">
        <v>11.07</v>
      </c>
      <c r="S11" s="44">
        <v>1102.98</v>
      </c>
      <c r="T11" s="44">
        <v>131.69999999999999</v>
      </c>
      <c r="U11" s="250">
        <v>0.76502916277574518</v>
      </c>
      <c r="V11" s="44">
        <v>1.03</v>
      </c>
    </row>
    <row r="12" spans="2:22" x14ac:dyDescent="0.3">
      <c r="B12" s="54">
        <v>10</v>
      </c>
      <c r="C12" t="s">
        <v>539</v>
      </c>
      <c r="D12" s="44">
        <v>347.25</v>
      </c>
      <c r="E12" s="44">
        <v>29.92</v>
      </c>
      <c r="F12" s="44">
        <v>12402.2</v>
      </c>
      <c r="G12" s="44">
        <v>8.9700000000000006</v>
      </c>
      <c r="H12" s="44">
        <v>35.72</v>
      </c>
      <c r="I12" s="44">
        <v>35.72</v>
      </c>
      <c r="J12" s="44">
        <v>4916.1000000000004</v>
      </c>
      <c r="K12" s="44">
        <v>17222.04</v>
      </c>
      <c r="L12" s="44">
        <v>13.45</v>
      </c>
      <c r="M12" s="44">
        <v>1880.92</v>
      </c>
      <c r="N12" s="44">
        <v>414.99</v>
      </c>
      <c r="O12" s="44">
        <v>11594.3</v>
      </c>
      <c r="P12" s="44">
        <v>359.77</v>
      </c>
      <c r="Q12" s="44">
        <v>4.05</v>
      </c>
      <c r="R12" s="44">
        <v>7.07</v>
      </c>
      <c r="S12" s="44">
        <v>1024.51</v>
      </c>
      <c r="T12" s="44">
        <v>348</v>
      </c>
      <c r="U12" s="250">
        <v>0.23195739656377262</v>
      </c>
      <c r="V12" s="44">
        <v>0.879</v>
      </c>
    </row>
    <row r="13" spans="2:22" x14ac:dyDescent="0.3">
      <c r="B13" s="54">
        <v>11</v>
      </c>
      <c r="C13" t="s">
        <v>540</v>
      </c>
      <c r="D13" s="44">
        <v>396</v>
      </c>
      <c r="E13" s="44">
        <v>90.9</v>
      </c>
      <c r="F13" s="44">
        <v>12271.91</v>
      </c>
      <c r="G13" s="44">
        <v>24.53</v>
      </c>
      <c r="H13" s="44">
        <v>30.99</v>
      </c>
      <c r="I13" s="44">
        <v>30.99</v>
      </c>
      <c r="J13" s="44">
        <v>1304.8</v>
      </c>
      <c r="K13" s="44">
        <v>13516.11</v>
      </c>
      <c r="L13" s="44">
        <v>215.22</v>
      </c>
      <c r="M13" s="44">
        <v>440.67</v>
      </c>
      <c r="N13" s="44">
        <v>135</v>
      </c>
      <c r="O13" s="44">
        <v>4479.37</v>
      </c>
      <c r="P13" s="44">
        <v>-67.25</v>
      </c>
      <c r="Q13" s="44">
        <v>0.37</v>
      </c>
      <c r="R13" s="44">
        <v>1.24</v>
      </c>
      <c r="S13" s="44">
        <v>254.01</v>
      </c>
      <c r="T13" s="44">
        <v>391.45</v>
      </c>
      <c r="U13" s="250">
        <v>0.44888888888888889</v>
      </c>
      <c r="V13" s="44">
        <v>1.3939999999999999</v>
      </c>
    </row>
    <row r="14" spans="2:22" s="220" customFormat="1" x14ac:dyDescent="0.3">
      <c r="B14" s="52">
        <v>12</v>
      </c>
      <c r="C14" s="220" t="s">
        <v>541</v>
      </c>
      <c r="D14" s="43">
        <v>203.35</v>
      </c>
      <c r="E14" s="43">
        <v>20.45</v>
      </c>
      <c r="F14" s="43">
        <v>8218.98</v>
      </c>
      <c r="G14" s="43">
        <v>9.11</v>
      </c>
      <c r="H14" s="43">
        <v>40.42</v>
      </c>
      <c r="I14" s="43">
        <v>40.42</v>
      </c>
      <c r="J14" s="43">
        <v>603.33000000000004</v>
      </c>
      <c r="K14" s="43">
        <v>8697.64</v>
      </c>
      <c r="L14" s="43">
        <v>-45.05</v>
      </c>
      <c r="M14" s="43">
        <v>955.21</v>
      </c>
      <c r="N14" s="43">
        <v>401.72</v>
      </c>
      <c r="O14" s="43">
        <v>3776.49</v>
      </c>
      <c r="P14" s="43">
        <v>390.45</v>
      </c>
      <c r="Q14" s="43">
        <v>13.24</v>
      </c>
      <c r="R14" s="43">
        <v>16.68</v>
      </c>
      <c r="S14" s="43">
        <v>589.91999999999996</v>
      </c>
      <c r="T14" s="43">
        <v>203.4</v>
      </c>
      <c r="U14" s="251">
        <v>0.31034053569650499</v>
      </c>
      <c r="V14" s="43">
        <v>0.75</v>
      </c>
    </row>
    <row r="15" spans="2:22" x14ac:dyDescent="0.3">
      <c r="B15" s="54">
        <v>13</v>
      </c>
      <c r="C15" t="s">
        <v>542</v>
      </c>
      <c r="D15" s="44">
        <v>570.1</v>
      </c>
      <c r="E15" s="44">
        <v>17.809999999999999</v>
      </c>
      <c r="F15" s="44">
        <v>7077.46</v>
      </c>
      <c r="G15" s="44">
        <v>8.4600000000000009</v>
      </c>
      <c r="H15" s="44">
        <v>12.41</v>
      </c>
      <c r="I15" s="44">
        <v>11.77</v>
      </c>
      <c r="J15" s="44">
        <v>2585.7800000000002</v>
      </c>
      <c r="K15" s="44">
        <v>9149.26</v>
      </c>
      <c r="L15" s="44">
        <v>49.16</v>
      </c>
      <c r="M15" s="44">
        <v>1081.82</v>
      </c>
      <c r="N15" s="44">
        <v>397.54</v>
      </c>
      <c r="O15" s="44">
        <v>6762.63</v>
      </c>
      <c r="P15" s="44">
        <v>412.61</v>
      </c>
      <c r="Q15" s="44">
        <v>10.69</v>
      </c>
      <c r="R15" s="44">
        <v>12</v>
      </c>
      <c r="S15" s="44">
        <v>758.04</v>
      </c>
      <c r="T15" s="44">
        <v>571.4</v>
      </c>
      <c r="U15" s="250">
        <v>0.11470543844644564</v>
      </c>
      <c r="V15" s="44">
        <v>1.119</v>
      </c>
    </row>
    <row r="16" spans="2:22" x14ac:dyDescent="0.3">
      <c r="V16" s="36"/>
    </row>
  </sheetData>
  <hyperlinks>
    <hyperlink ref="B15" r:id="rId1" display="https://www.screener.in/market/IN01/IN0102/IN010203/?order=asc" xr:uid="{6D5B426E-A741-49A9-9BE5-492916443BEA}"/>
    <hyperlink ref="C15" r:id="rId2" display="https://www.screener.in/market/IN01/IN0102/IN010203/?sort=name&amp;order=desc" xr:uid="{D0DE227A-5EB6-4327-9E00-BEF826288A5D}"/>
    <hyperlink ref="D15" r:id="rId3" display="https://www.screener.in/market/IN01/IN0102/IN010203/?sort=current+price&amp;order=desc" xr:uid="{6EAE3B1E-2C3B-4436-A934-00566C943D87}"/>
    <hyperlink ref="E15" r:id="rId4" display="https://www.screener.in/market/IN01/IN0102/IN010203/?sort=price+to+earning&amp;order=desc" xr:uid="{2E6E0601-6B7A-4106-876B-A92461D33C9F}"/>
    <hyperlink ref="F15" r:id="rId5" display="https://www.screener.in/market/IN01/IN0102/IN010203/?sort=market+capitalization&amp;order=desc" xr:uid="{A94B3233-5A13-4449-9AE2-D41929B33DF4}"/>
    <hyperlink ref="G15" r:id="rId6" display="https://www.screener.in/market/IN01/IN0102/IN010203/?sort=evebitda&amp;order=desc" xr:uid="{B33CADB2-E469-4FF0-87CE-2160DA381535}"/>
    <hyperlink ref="H15" r:id="rId7" display="https://www.screener.in/market/IN01/IN0102/IN010203/?sort=number+of+equity+shares&amp;order=desc" xr:uid="{77ABE224-D38B-4642-A1B2-1CFE22329484}"/>
    <hyperlink ref="I15" r:id="rId8" display="https://www.screener.in/market/IN01/IN0102/IN010203/?sort=number+of+equity+shares+preceding+year&amp;order=desc" xr:uid="{4B5F4EAB-554A-4846-BAFB-CE908C29B39B}"/>
    <hyperlink ref="J15" r:id="rId9" display="https://www.screener.in/market/IN01/IN0102/IN010203/?sort=debt&amp;order=desc" xr:uid="{A44AA792-2E34-4620-B3A1-E77181A56934}"/>
    <hyperlink ref="K15" r:id="rId10" display="https://www.screener.in/market/IN01/IN0102/IN010203/?sort=enterprise+value&amp;order=desc" xr:uid="{5985A882-6367-4ADC-85FA-630A3AC088F1}"/>
    <hyperlink ref="L15" r:id="rId11" display="https://www.screener.in/market/IN01/IN0102/IN010203/?sort=price+to+free+cash+flow&amp;order=desc" xr:uid="{E1F09F65-6FF5-4953-A1F8-4390E65CFB42}"/>
    <hyperlink ref="M15" r:id="rId12" display="https://www.screener.in/market/IN01/IN0102/IN010203/?sort=ebidt+last+year&amp;order=desc" xr:uid="{27E84612-60E7-44D9-A31A-9F3C953B0DCF}"/>
    <hyperlink ref="N15" r:id="rId13" display="https://www.screener.in/market/IN01/IN0102/IN010203/?sort=profit+after+tax&amp;order=desc" xr:uid="{C532B4FF-3FA2-4F70-B85F-1E6F61DE8951}"/>
    <hyperlink ref="O15" r:id="rId14" display="https://www.screener.in/market/IN01/IN0102/IN010203/?sort=sales&amp;order=desc" xr:uid="{D31162AF-09B1-400F-88E3-EF85DB0928C2}"/>
    <hyperlink ref="P15" r:id="rId15" display="https://www.screener.in/market/IN01/IN0102/IN010203/?sort=net+profit+last+year&amp;order=desc" xr:uid="{CFF31C84-8A6D-4421-A4CC-49EDD48D77AE}"/>
    <hyperlink ref="Q15" r:id="rId16" display="https://www.screener.in/market/IN01/IN0102/IN010203/?sort=return+on+equity&amp;order=desc" xr:uid="{2F6D8EEF-5975-4D79-A13A-5685B5F6FC71}"/>
    <hyperlink ref="R15" r:id="rId17" display="https://www.screener.in/market/IN01/IN0102/IN010203/?sort=return+on+capital+employed&amp;order=desc" xr:uid="{C222D577-56F8-4D9C-A519-6AD0CAF3FC05}"/>
    <hyperlink ref="S15" r:id="rId18" display="https://www.screener.in/market/IN01/IN0102/IN010203/?sort=ebit&amp;order=desc" xr:uid="{BBFDE131-D926-4FD5-964C-B7411F79E8EB}"/>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7886D-CF6D-4C7C-AED0-9B1FBA860144}">
  <sheetPr codeName="Sheet6"/>
  <dimension ref="A1:U30"/>
  <sheetViews>
    <sheetView showGridLines="0" topLeftCell="A17" zoomScale="74" workbookViewId="0">
      <selection activeCell="T19" sqref="T19"/>
    </sheetView>
  </sheetViews>
  <sheetFormatPr defaultColWidth="11.77734375" defaultRowHeight="14.4" x14ac:dyDescent="0.3"/>
  <cols>
    <col min="1" max="3" width="1.33203125" style="1" customWidth="1"/>
    <col min="4" max="4" width="40.77734375" customWidth="1"/>
    <col min="5" max="6" width="12.77734375" customWidth="1"/>
    <col min="7" max="7" width="2.77734375" customWidth="1"/>
    <col min="8" max="8" width="12.77734375" bestFit="1" customWidth="1"/>
    <col min="10" max="10" width="12.77734375" bestFit="1" customWidth="1"/>
    <col min="13" max="13" width="12.77734375" bestFit="1" customWidth="1"/>
    <col min="19" max="21" width="17" customWidth="1"/>
  </cols>
  <sheetData>
    <row r="1" spans="1:21" ht="32.4" x14ac:dyDescent="0.6">
      <c r="A1" s="35" t="s">
        <v>408</v>
      </c>
      <c r="B1" s="4"/>
      <c r="C1" s="4"/>
      <c r="D1" s="5"/>
      <c r="E1" s="5"/>
      <c r="F1" s="5"/>
      <c r="G1" s="5"/>
      <c r="H1" s="7"/>
      <c r="I1" s="8"/>
      <c r="J1" s="8"/>
      <c r="K1" s="8"/>
      <c r="L1" s="8"/>
      <c r="M1" s="8"/>
      <c r="N1" s="8"/>
      <c r="O1" s="8"/>
      <c r="P1" s="8"/>
      <c r="Q1" s="8"/>
      <c r="R1" s="8"/>
      <c r="S1" s="8"/>
      <c r="T1" s="8"/>
      <c r="U1" s="8"/>
    </row>
    <row r="2" spans="1:21" ht="19.8" x14ac:dyDescent="0.4">
      <c r="A2" s="12" t="s">
        <v>151</v>
      </c>
      <c r="B2" s="13"/>
      <c r="C2" s="13"/>
      <c r="D2" s="6"/>
      <c r="E2" s="6"/>
      <c r="F2" s="23"/>
      <c r="G2" s="6"/>
      <c r="H2" s="20"/>
      <c r="I2" s="20"/>
      <c r="J2" s="20"/>
      <c r="K2" s="20"/>
      <c r="L2" s="20"/>
      <c r="M2" s="20"/>
      <c r="N2" s="20"/>
      <c r="O2" s="20"/>
      <c r="P2" s="20"/>
      <c r="Q2" s="20"/>
      <c r="R2" s="20"/>
      <c r="S2" s="20"/>
      <c r="T2" s="20"/>
      <c r="U2" s="20"/>
    </row>
    <row r="5" spans="1:21" x14ac:dyDescent="0.3">
      <c r="D5" s="6"/>
      <c r="E5" s="6"/>
      <c r="F5" s="6"/>
      <c r="G5" s="6"/>
      <c r="H5" s="6" t="s">
        <v>152</v>
      </c>
      <c r="I5" s="6"/>
      <c r="J5" s="6"/>
      <c r="K5" s="6"/>
      <c r="L5" s="6"/>
      <c r="M5" s="6"/>
      <c r="N5" s="6"/>
      <c r="O5" s="6" t="s">
        <v>153</v>
      </c>
      <c r="P5" s="6"/>
      <c r="Q5" s="6"/>
      <c r="R5" s="6"/>
      <c r="S5" s="6" t="s">
        <v>154</v>
      </c>
      <c r="T5" s="6"/>
      <c r="U5" s="6"/>
    </row>
    <row r="6" spans="1:21" x14ac:dyDescent="0.3">
      <c r="D6" s="6"/>
      <c r="E6" s="6"/>
      <c r="F6" s="6"/>
      <c r="G6" s="6"/>
      <c r="H6" s="6" t="s">
        <v>155</v>
      </c>
      <c r="I6" s="6" t="s">
        <v>156</v>
      </c>
      <c r="J6" s="6" t="s">
        <v>157</v>
      </c>
      <c r="K6" s="6" t="s">
        <v>61</v>
      </c>
      <c r="L6" s="6" t="s">
        <v>47</v>
      </c>
      <c r="M6" s="6" t="s">
        <v>158</v>
      </c>
      <c r="N6" s="6"/>
      <c r="O6" s="6" t="s">
        <v>159</v>
      </c>
      <c r="P6" s="6" t="s">
        <v>38</v>
      </c>
      <c r="Q6" s="6" t="s">
        <v>160</v>
      </c>
      <c r="R6" s="6"/>
      <c r="S6" s="6" t="s">
        <v>161</v>
      </c>
      <c r="T6" s="6" t="s">
        <v>162</v>
      </c>
      <c r="U6" s="6" t="s">
        <v>127</v>
      </c>
    </row>
    <row r="7" spans="1:21" x14ac:dyDescent="0.3">
      <c r="D7" s="6" t="s">
        <v>163</v>
      </c>
      <c r="E7" s="6"/>
      <c r="F7" s="6"/>
      <c r="G7" s="6"/>
      <c r="H7" s="6" t="s">
        <v>164</v>
      </c>
      <c r="I7" s="6" t="s">
        <v>174</v>
      </c>
      <c r="J7" s="6" t="s">
        <v>175</v>
      </c>
      <c r="K7" s="6" t="s">
        <v>175</v>
      </c>
      <c r="L7" s="6" t="s">
        <v>175</v>
      </c>
      <c r="M7" s="6" t="s">
        <v>175</v>
      </c>
      <c r="N7" s="6"/>
      <c r="O7" s="6" t="s">
        <v>175</v>
      </c>
      <c r="P7" s="6" t="s">
        <v>175</v>
      </c>
      <c r="Q7" s="6" t="s">
        <v>175</v>
      </c>
      <c r="R7" s="6"/>
      <c r="S7" s="6" t="s">
        <v>165</v>
      </c>
      <c r="T7" s="6" t="s">
        <v>165</v>
      </c>
      <c r="U7" s="6" t="s">
        <v>165</v>
      </c>
    </row>
    <row r="8" spans="1:21" x14ac:dyDescent="0.3">
      <c r="D8" t="str">
        <f>'Comp Data'!C3</f>
        <v>UltraTech Cem.</v>
      </c>
      <c r="H8" s="44">
        <f>'Comp Data'!D3</f>
        <v>11943.75</v>
      </c>
      <c r="I8" s="44">
        <f>'Comp Data'!H3</f>
        <v>29.47</v>
      </c>
      <c r="J8" s="44">
        <f>H8*I8</f>
        <v>351982.3125</v>
      </c>
      <c r="K8" s="44">
        <f>'Comp Data'!J3</f>
        <v>23755.09</v>
      </c>
      <c r="L8" s="44">
        <f>'Comp Data'!T3</f>
        <v>11967.25</v>
      </c>
      <c r="M8" s="44">
        <f>'Comp Data'!K3</f>
        <v>374328.17</v>
      </c>
      <c r="N8" s="44"/>
      <c r="O8" s="44">
        <f>'Comp Data'!O3</f>
        <v>91884.28</v>
      </c>
      <c r="P8" s="44">
        <f>'Comp Data'!M3</f>
        <v>17457.54</v>
      </c>
      <c r="Q8" s="44">
        <f>'Comp Data'!N3</f>
        <v>8624.5499999999993</v>
      </c>
      <c r="S8" s="37">
        <f>M8/O8</f>
        <v>4.0739087251921653</v>
      </c>
      <c r="T8" s="37">
        <f>M8/P8</f>
        <v>21.442206061105974</v>
      </c>
      <c r="U8" s="37">
        <f>J8/Q8</f>
        <v>40.811672782927808</v>
      </c>
    </row>
    <row r="9" spans="1:21" x14ac:dyDescent="0.3">
      <c r="D9" t="str">
        <f>'Comp Data'!C4</f>
        <v>Grasim Inds</v>
      </c>
      <c r="E9" s="2"/>
      <c r="F9" s="2"/>
      <c r="G9" s="2"/>
      <c r="H9" s="44">
        <f>'Comp Data'!D4</f>
        <v>3130.3</v>
      </c>
      <c r="I9" s="44">
        <f>'Comp Data'!H4</f>
        <v>68.05</v>
      </c>
      <c r="J9" s="44">
        <f t="shared" ref="J9:J20" si="0">H9*I9</f>
        <v>213016.91500000001</v>
      </c>
      <c r="K9" s="44">
        <f>'Comp Data'!J4</f>
        <v>227853.06</v>
      </c>
      <c r="L9" s="44">
        <f>'Comp Data'!T4</f>
        <v>3125.5</v>
      </c>
      <c r="M9" s="44">
        <f>'Comp Data'!K4</f>
        <v>434690.63</v>
      </c>
      <c r="N9" s="44"/>
      <c r="O9" s="44">
        <f>'Comp Data'!O4</f>
        <v>175430.74</v>
      </c>
      <c r="P9" s="44">
        <f>'Comp Data'!M4</f>
        <v>37454.089999999997</v>
      </c>
      <c r="Q9" s="44">
        <f>'Comp Data'!N4</f>
        <v>5004.75</v>
      </c>
      <c r="R9" s="2"/>
      <c r="S9" s="37">
        <f t="shared" ref="S9:S20" si="1">M9/O9</f>
        <v>2.4778475539691618</v>
      </c>
      <c r="T9" s="37">
        <f t="shared" ref="T9:T20" si="2">M9/P9</f>
        <v>11.605958921976212</v>
      </c>
      <c r="U9" s="37">
        <f t="shared" ref="U9:U20" si="3">J9/Q9</f>
        <v>42.562948199210751</v>
      </c>
    </row>
    <row r="10" spans="1:21" x14ac:dyDescent="0.3">
      <c r="D10" t="str">
        <f>'Comp Data'!C5</f>
        <v>Ambuja Cements</v>
      </c>
      <c r="H10" s="44">
        <f>'Comp Data'!D5</f>
        <v>440.1</v>
      </c>
      <c r="I10" s="44">
        <f>'Comp Data'!H5</f>
        <v>248.48</v>
      </c>
      <c r="J10" s="44">
        <f t="shared" si="0"/>
        <v>109356.048</v>
      </c>
      <c r="K10" s="44">
        <f>'Comp Data'!J5</f>
        <v>865.93</v>
      </c>
      <c r="L10" s="44">
        <f>'Comp Data'!T5</f>
        <v>440.05</v>
      </c>
      <c r="M10" s="44">
        <f>'Comp Data'!K5</f>
        <v>109264.1</v>
      </c>
      <c r="N10" s="44"/>
      <c r="O10" s="44">
        <f>'Comp Data'!O5</f>
        <v>39867.14</v>
      </c>
      <c r="P10" s="44">
        <f>'Comp Data'!M5</f>
        <v>7428.67</v>
      </c>
      <c r="Q10" s="44">
        <f>'Comp Data'!N5</f>
        <v>4708.12</v>
      </c>
      <c r="S10" s="37">
        <f t="shared" si="1"/>
        <v>2.7407057541624509</v>
      </c>
      <c r="T10" s="37">
        <f t="shared" si="2"/>
        <v>14.708433676553138</v>
      </c>
      <c r="U10" s="37">
        <f t="shared" si="3"/>
        <v>23.227115706481566</v>
      </c>
    </row>
    <row r="11" spans="1:21" x14ac:dyDescent="0.3">
      <c r="D11" t="str">
        <f>'Comp Data'!C6</f>
        <v>Shree Cement</v>
      </c>
      <c r="H11" s="44">
        <f>'Comp Data'!D6</f>
        <v>26844.3</v>
      </c>
      <c r="I11" s="44">
        <f>'Comp Data'!H6</f>
        <v>3.61</v>
      </c>
      <c r="J11" s="44">
        <f t="shared" si="0"/>
        <v>96907.922999999995</v>
      </c>
      <c r="K11" s="44">
        <f>'Comp Data'!J6</f>
        <v>1868.14</v>
      </c>
      <c r="L11" s="44">
        <f>'Comp Data'!T6</f>
        <v>26884.65</v>
      </c>
      <c r="M11" s="44">
        <f>'Comp Data'!K6</f>
        <v>98382.58</v>
      </c>
      <c r="N11" s="44"/>
      <c r="O11" s="44">
        <f>'Comp Data'!O6</f>
        <v>21895.72</v>
      </c>
      <c r="P11" s="44">
        <f>'Comp Data'!M6</f>
        <v>5249.56</v>
      </c>
      <c r="Q11" s="44">
        <f>'Comp Data'!N6</f>
        <v>1630.09</v>
      </c>
      <c r="S11" s="37">
        <f t="shared" si="1"/>
        <v>4.493233380770306</v>
      </c>
      <c r="T11" s="37">
        <f t="shared" si="2"/>
        <v>18.741109731101272</v>
      </c>
      <c r="U11" s="37">
        <f t="shared" si="3"/>
        <v>59.449431013011555</v>
      </c>
    </row>
    <row r="12" spans="1:21" x14ac:dyDescent="0.3">
      <c r="D12" t="str">
        <f>'Comp Data'!C7</f>
        <v>J K Cements</v>
      </c>
      <c r="H12" s="44">
        <f>'Comp Data'!D7</f>
        <v>5512.35</v>
      </c>
      <c r="I12" s="44">
        <f>'Comp Data'!H7</f>
        <v>7.73</v>
      </c>
      <c r="J12" s="44">
        <f t="shared" si="0"/>
        <v>42610.465500000006</v>
      </c>
      <c r="K12" s="44">
        <f>'Comp Data'!J7</f>
        <v>6182.99</v>
      </c>
      <c r="L12" s="44">
        <f>'Comp Data'!T7</f>
        <v>5494.8</v>
      </c>
      <c r="M12" s="44">
        <f>'Comp Data'!K7</f>
        <v>48306.85</v>
      </c>
      <c r="N12" s="44"/>
      <c r="O12" s="44">
        <f>'Comp Data'!O7</f>
        <v>14401.49</v>
      </c>
      <c r="P12" s="44">
        <f>'Comp Data'!M7</f>
        <v>2567.5300000000002</v>
      </c>
      <c r="Q12" s="44">
        <f>'Comp Data'!N7</f>
        <v>976.47</v>
      </c>
      <c r="S12" s="37">
        <f t="shared" si="1"/>
        <v>3.3542952847240111</v>
      </c>
      <c r="T12" s="37">
        <f t="shared" si="2"/>
        <v>18.81452212827114</v>
      </c>
      <c r="U12" s="37">
        <f t="shared" si="3"/>
        <v>43.637249992319276</v>
      </c>
    </row>
    <row r="13" spans="1:21" x14ac:dyDescent="0.3">
      <c r="D13" t="str">
        <f>'Comp Data'!C8</f>
        <v>Dalmia BharatLtd</v>
      </c>
      <c r="H13" s="44">
        <f>'Comp Data'!D8</f>
        <v>1811</v>
      </c>
      <c r="I13" s="44">
        <f>'Comp Data'!H8</f>
        <v>18.760000000000002</v>
      </c>
      <c r="J13" s="44">
        <f t="shared" si="0"/>
        <v>33974.36</v>
      </c>
      <c r="K13" s="44">
        <f>'Comp Data'!J8</f>
        <v>7406</v>
      </c>
      <c r="L13" s="44">
        <f>'Comp Data'!T8</f>
        <v>1810</v>
      </c>
      <c r="M13" s="44">
        <f>'Comp Data'!K8</f>
        <v>41150.199999999997</v>
      </c>
      <c r="N13" s="44"/>
      <c r="O13" s="44">
        <f>'Comp Data'!O8</f>
        <v>15058</v>
      </c>
      <c r="P13" s="44">
        <f>'Comp Data'!M8</f>
        <v>3199</v>
      </c>
      <c r="Q13" s="44">
        <f>'Comp Data'!N8</f>
        <v>1098.42</v>
      </c>
      <c r="S13" s="37">
        <f t="shared" si="1"/>
        <v>2.7327799176517464</v>
      </c>
      <c r="T13" s="37">
        <f t="shared" si="2"/>
        <v>12.863457330415754</v>
      </c>
      <c r="U13" s="37">
        <f t="shared" si="3"/>
        <v>30.930208845432528</v>
      </c>
    </row>
    <row r="14" spans="1:21" x14ac:dyDescent="0.3">
      <c r="D14" t="str">
        <f>'Comp Data'!C9</f>
        <v>ACC</v>
      </c>
      <c r="H14" s="44">
        <f>'Comp Data'!D9</f>
        <v>1388</v>
      </c>
      <c r="I14" s="44">
        <f>'Comp Data'!H9</f>
        <v>18.78</v>
      </c>
      <c r="J14" s="44">
        <f t="shared" si="0"/>
        <v>26066.640000000003</v>
      </c>
      <c r="K14" s="44">
        <f>'Comp Data'!J9</f>
        <v>428.61</v>
      </c>
      <c r="L14" s="44">
        <f>'Comp Data'!T9</f>
        <v>1388.2</v>
      </c>
      <c r="M14" s="44">
        <f>'Comp Data'!K9</f>
        <v>25935.759999999998</v>
      </c>
      <c r="N14" s="44"/>
      <c r="O14" s="44">
        <f>'Comp Data'!O9</f>
        <v>25441.73</v>
      </c>
      <c r="P14" s="44">
        <f>'Comp Data'!M9</f>
        <v>3366.76</v>
      </c>
      <c r="Q14" s="44">
        <f>'Comp Data'!N9</f>
        <v>1899.74</v>
      </c>
      <c r="S14" s="37">
        <f t="shared" si="1"/>
        <v>1.0194180977472838</v>
      </c>
      <c r="T14" s="37">
        <f t="shared" si="2"/>
        <v>7.7034775273556759</v>
      </c>
      <c r="U14" s="37">
        <f t="shared" si="3"/>
        <v>13.721161843199598</v>
      </c>
    </row>
    <row r="15" spans="1:21" x14ac:dyDescent="0.3">
      <c r="D15" t="str">
        <f>'Comp Data'!C10</f>
        <v>The Ramco Cement</v>
      </c>
      <c r="H15" s="44">
        <f>'Comp Data'!D10</f>
        <v>944.15</v>
      </c>
      <c r="I15" s="44">
        <f>'Comp Data'!H10</f>
        <v>23.63</v>
      </c>
      <c r="J15" s="44">
        <f t="shared" si="0"/>
        <v>22310.264499999997</v>
      </c>
      <c r="K15" s="44">
        <f>'Comp Data'!J10</f>
        <v>3871.1</v>
      </c>
      <c r="L15" s="44">
        <f>'Comp Data'!T10</f>
        <v>945.95</v>
      </c>
      <c r="M15" s="44">
        <f>'Comp Data'!K10</f>
        <v>25953.39</v>
      </c>
      <c r="N15" s="44"/>
      <c r="O15" s="44">
        <f>'Comp Data'!O10</f>
        <v>9028.76</v>
      </c>
      <c r="P15" s="44">
        <f>'Comp Data'!M10</f>
        <v>1478.02</v>
      </c>
      <c r="Q15" s="44">
        <f>'Comp Data'!N10</f>
        <v>698.65</v>
      </c>
      <c r="S15" s="37">
        <f t="shared" si="1"/>
        <v>2.8745242979102335</v>
      </c>
      <c r="T15" s="37">
        <f t="shared" si="2"/>
        <v>17.559566176371092</v>
      </c>
      <c r="U15" s="37">
        <f>J15/Q15</f>
        <v>31.933392256494667</v>
      </c>
    </row>
    <row r="16" spans="1:21" x14ac:dyDescent="0.3">
      <c r="D16" t="str">
        <f>'Comp Data'!C11</f>
        <v>JSW Cement</v>
      </c>
      <c r="H16" s="44">
        <f>'Comp Data'!D11</f>
        <v>131.75</v>
      </c>
      <c r="I16" s="44">
        <f>'Comp Data'!H11</f>
        <v>136.34</v>
      </c>
      <c r="J16" s="44">
        <f t="shared" si="0"/>
        <v>17962.795000000002</v>
      </c>
      <c r="K16" s="44">
        <f>'Comp Data'!J11</f>
        <v>4464.3900000000003</v>
      </c>
      <c r="L16" s="44">
        <f>'Comp Data'!T11</f>
        <v>131.69999999999999</v>
      </c>
      <c r="M16" s="44">
        <f>'Comp Data'!K11</f>
        <v>21926.98</v>
      </c>
      <c r="N16" s="44"/>
      <c r="O16" s="44">
        <f>'Comp Data'!O11</f>
        <v>6501.28</v>
      </c>
      <c r="P16" s="44">
        <f>'Comp Data'!M11</f>
        <v>1425.22</v>
      </c>
      <c r="Q16" s="44">
        <f>'Comp Data'!N11</f>
        <v>653.23</v>
      </c>
      <c r="S16" s="37">
        <f t="shared" si="1"/>
        <v>3.3727173725789386</v>
      </c>
      <c r="T16" s="37">
        <f t="shared" si="2"/>
        <v>15.384979161111968</v>
      </c>
      <c r="U16" s="37">
        <f t="shared" si="3"/>
        <v>27.498423219999083</v>
      </c>
    </row>
    <row r="17" spans="1:21" x14ac:dyDescent="0.3">
      <c r="D17" t="str">
        <f>'Comp Data'!C12</f>
        <v>Nuvoco Vistas</v>
      </c>
      <c r="H17" s="44">
        <f>'Comp Data'!D12</f>
        <v>347.25</v>
      </c>
      <c r="I17" s="44">
        <f>'Comp Data'!H12</f>
        <v>35.72</v>
      </c>
      <c r="J17" s="44">
        <f t="shared" si="0"/>
        <v>12403.77</v>
      </c>
      <c r="K17" s="44">
        <f>'Comp Data'!J12</f>
        <v>4916.1000000000004</v>
      </c>
      <c r="L17" s="44">
        <f>'Comp Data'!T12</f>
        <v>348</v>
      </c>
      <c r="M17" s="44">
        <f>'Comp Data'!K12</f>
        <v>17222.04</v>
      </c>
      <c r="N17" s="44"/>
      <c r="O17" s="44">
        <f>'Comp Data'!O12</f>
        <v>11594.3</v>
      </c>
      <c r="P17" s="44">
        <f>'Comp Data'!M12</f>
        <v>1880.92</v>
      </c>
      <c r="Q17" s="44">
        <f>'Comp Data'!N12</f>
        <v>414.99</v>
      </c>
      <c r="S17" s="37">
        <f t="shared" si="1"/>
        <v>1.4853885098712301</v>
      </c>
      <c r="T17" s="37">
        <f t="shared" si="2"/>
        <v>9.156178891180911</v>
      </c>
      <c r="U17" s="37">
        <f t="shared" si="3"/>
        <v>29.889322634280344</v>
      </c>
    </row>
    <row r="18" spans="1:21" x14ac:dyDescent="0.3">
      <c r="D18" t="str">
        <f>'Comp Data'!C13</f>
        <v>India Cements</v>
      </c>
      <c r="H18" s="44">
        <f>'Comp Data'!D13</f>
        <v>396</v>
      </c>
      <c r="I18" s="44">
        <f>'Comp Data'!H13</f>
        <v>30.99</v>
      </c>
      <c r="J18" s="44">
        <f t="shared" si="0"/>
        <v>12272.039999999999</v>
      </c>
      <c r="K18" s="44">
        <f>'Comp Data'!J13</f>
        <v>1304.8</v>
      </c>
      <c r="L18" s="44">
        <f>'Comp Data'!T13</f>
        <v>391.45</v>
      </c>
      <c r="M18" s="44">
        <f>'Comp Data'!K13</f>
        <v>13516.11</v>
      </c>
      <c r="N18" s="44"/>
      <c r="O18" s="44">
        <f>'Comp Data'!O13</f>
        <v>4479.37</v>
      </c>
      <c r="P18" s="44">
        <f>'Comp Data'!M13</f>
        <v>440.67</v>
      </c>
      <c r="Q18" s="44">
        <f>'Comp Data'!N13</f>
        <v>135</v>
      </c>
      <c r="S18" s="37">
        <f t="shared" si="1"/>
        <v>3.0174131630117631</v>
      </c>
      <c r="T18" s="37">
        <f t="shared" si="2"/>
        <v>30.671727142759888</v>
      </c>
      <c r="U18" s="37">
        <f t="shared" si="3"/>
        <v>90.903999999999996</v>
      </c>
    </row>
    <row r="19" spans="1:21" s="2" customFormat="1" x14ac:dyDescent="0.3">
      <c r="A19" s="16"/>
      <c r="B19" s="16"/>
      <c r="C19" s="16"/>
      <c r="D19" s="2" t="str">
        <f>'Comp Data'!C14</f>
        <v>Star Cement</v>
      </c>
      <c r="H19" s="43">
        <f>'Market Data'!B265</f>
        <v>198.94</v>
      </c>
      <c r="I19" s="43">
        <f>'Comp Data'!H14</f>
        <v>40.42</v>
      </c>
      <c r="J19" s="43">
        <f t="shared" si="0"/>
        <v>8041.1548000000003</v>
      </c>
      <c r="K19" s="43">
        <f>'Comp Data'!J14</f>
        <v>603.33000000000004</v>
      </c>
      <c r="L19" s="43">
        <f>'Comp Data'!T14</f>
        <v>203.4</v>
      </c>
      <c r="M19" s="43">
        <f>'Comp Data'!K14</f>
        <v>8697.64</v>
      </c>
      <c r="N19" s="43"/>
      <c r="O19" s="43">
        <f>'Comp Data'!O14</f>
        <v>3776.49</v>
      </c>
      <c r="P19" s="43">
        <f>'Comp Data'!M14</f>
        <v>955.21</v>
      </c>
      <c r="Q19" s="43">
        <f>'Comp Data'!N14</f>
        <v>401.72</v>
      </c>
      <c r="S19" s="105">
        <f t="shared" si="1"/>
        <v>2.3031015572661389</v>
      </c>
      <c r="T19" s="105">
        <f t="shared" si="2"/>
        <v>9.1054741889218072</v>
      </c>
      <c r="U19" s="105">
        <f t="shared" si="3"/>
        <v>20.016814696803742</v>
      </c>
    </row>
    <row r="20" spans="1:21" x14ac:dyDescent="0.3">
      <c r="D20" t="str">
        <f>'Comp Data'!C15</f>
        <v>JK Lakshmi Cem.</v>
      </c>
      <c r="H20" s="44">
        <f>'Comp Data'!D15</f>
        <v>570.1</v>
      </c>
      <c r="I20" s="44">
        <f>'Comp Data'!H15</f>
        <v>12.41</v>
      </c>
      <c r="J20" s="44">
        <f t="shared" si="0"/>
        <v>7074.9410000000007</v>
      </c>
      <c r="K20" s="44">
        <f>'Comp Data'!J15</f>
        <v>2585.7800000000002</v>
      </c>
      <c r="L20" s="44">
        <f>'Comp Data'!T15</f>
        <v>571.4</v>
      </c>
      <c r="M20" s="44">
        <f>'Comp Data'!K15</f>
        <v>9149.26</v>
      </c>
      <c r="N20" s="44"/>
      <c r="O20" s="44">
        <f>'Comp Data'!O15</f>
        <v>6762.63</v>
      </c>
      <c r="P20" s="44">
        <f>'Comp Data'!M15</f>
        <v>1081.82</v>
      </c>
      <c r="Q20" s="44">
        <f>'Comp Data'!N15</f>
        <v>397.54</v>
      </c>
      <c r="S20" s="37">
        <f t="shared" si="1"/>
        <v>1.3529144726238165</v>
      </c>
      <c r="T20" s="37">
        <f t="shared" si="2"/>
        <v>8.4572849457395876</v>
      </c>
      <c r="U20" s="37">
        <f t="shared" si="3"/>
        <v>17.796802837450322</v>
      </c>
    </row>
    <row r="22" spans="1:21" x14ac:dyDescent="0.3">
      <c r="D22" s="109" t="s">
        <v>166</v>
      </c>
      <c r="E22" s="109"/>
      <c r="F22" s="109"/>
      <c r="G22" s="109"/>
      <c r="H22" s="109"/>
      <c r="I22" s="109"/>
      <c r="J22" s="109"/>
      <c r="K22" s="109"/>
      <c r="L22" s="109"/>
      <c r="M22" s="109"/>
      <c r="N22" s="109"/>
      <c r="O22" s="109"/>
      <c r="P22" s="109"/>
      <c r="Q22" s="109"/>
      <c r="R22" s="109"/>
      <c r="S22" s="110">
        <f>AVERAGE(S8:S15)</f>
        <v>2.9708391265159202</v>
      </c>
      <c r="T22" s="110">
        <f>AVERAGE(T8:T15)</f>
        <v>15.429841444143783</v>
      </c>
      <c r="U22" s="110">
        <f>AVERAGE(U8:U15)</f>
        <v>35.784147579884724</v>
      </c>
    </row>
    <row r="23" spans="1:21" x14ac:dyDescent="0.3">
      <c r="D23" s="109" t="s">
        <v>167</v>
      </c>
      <c r="E23" s="109"/>
      <c r="F23" s="109"/>
      <c r="G23" s="109"/>
      <c r="H23" s="109"/>
      <c r="I23" s="109"/>
      <c r="J23" s="109"/>
      <c r="K23" s="109"/>
      <c r="L23" s="109"/>
      <c r="M23" s="109"/>
      <c r="N23" s="109"/>
      <c r="O23" s="109"/>
      <c r="P23" s="109"/>
      <c r="Q23" s="109"/>
      <c r="R23" s="109"/>
      <c r="S23" s="110">
        <f>MEDIAN(S8:S15)</f>
        <v>2.8076150260363422</v>
      </c>
      <c r="T23" s="110">
        <f>MEDIAN(T8:T15)</f>
        <v>16.133999926462117</v>
      </c>
      <c r="U23" s="110">
        <f>MEDIAN(U8:U15)</f>
        <v>36.372532519711235</v>
      </c>
    </row>
    <row r="24" spans="1:21" x14ac:dyDescent="0.3">
      <c r="S24" s="37"/>
      <c r="T24" s="37"/>
      <c r="U24" s="37"/>
    </row>
    <row r="25" spans="1:21" x14ac:dyDescent="0.3">
      <c r="D25" t="str">
        <f>D19</f>
        <v>Star Cement</v>
      </c>
      <c r="H25">
        <f t="shared" ref="H25:U25" si="4">H19</f>
        <v>198.94</v>
      </c>
      <c r="I25">
        <f t="shared" si="4"/>
        <v>40.42</v>
      </c>
      <c r="J25">
        <f t="shared" si="4"/>
        <v>8041.1548000000003</v>
      </c>
      <c r="K25">
        <f t="shared" si="4"/>
        <v>603.33000000000004</v>
      </c>
      <c r="L25">
        <f t="shared" si="4"/>
        <v>203.4</v>
      </c>
      <c r="M25">
        <f t="shared" si="4"/>
        <v>8697.64</v>
      </c>
      <c r="O25">
        <f t="shared" si="4"/>
        <v>3776.49</v>
      </c>
      <c r="P25">
        <f t="shared" si="4"/>
        <v>955.21</v>
      </c>
      <c r="Q25">
        <f t="shared" si="4"/>
        <v>401.72</v>
      </c>
      <c r="S25" s="37">
        <f t="shared" si="4"/>
        <v>2.3031015572661389</v>
      </c>
      <c r="T25" s="37">
        <f t="shared" si="4"/>
        <v>9.1054741889218072</v>
      </c>
      <c r="U25" s="37">
        <f t="shared" si="4"/>
        <v>20.016814696803742</v>
      </c>
    </row>
    <row r="27" spans="1:21" x14ac:dyDescent="0.3">
      <c r="D27" s="109" t="s">
        <v>168</v>
      </c>
      <c r="E27" s="109" t="s">
        <v>169</v>
      </c>
      <c r="F27" s="109"/>
      <c r="G27" s="109"/>
      <c r="H27" s="109" t="s">
        <v>158</v>
      </c>
      <c r="I27" s="109" t="s">
        <v>170</v>
      </c>
      <c r="J27" s="109" t="s">
        <v>171</v>
      </c>
      <c r="K27" s="109" t="s">
        <v>172</v>
      </c>
      <c r="L27" s="109" t="s">
        <v>173</v>
      </c>
    </row>
    <row r="28" spans="1:21" x14ac:dyDescent="0.3">
      <c r="D28" t="str" cm="1">
        <f t="array" ref="D28:D30">TRANSPOSE(S6:U6)</f>
        <v>EV/Sales</v>
      </c>
      <c r="E28" s="37" cm="1">
        <f t="array" ref="E28:E30">TRANSPOSE(S22:U22)</f>
        <v>2.9708391265159202</v>
      </c>
      <c r="H28" s="37">
        <f>E28*O25</f>
        <v>11219.344252896106</v>
      </c>
      <c r="I28" s="37">
        <f>K25-L25</f>
        <v>399.93000000000006</v>
      </c>
      <c r="J28" s="37">
        <f>H28-I28</f>
        <v>10819.414252896106</v>
      </c>
      <c r="K28" s="37">
        <f>I25</f>
        <v>40.42</v>
      </c>
      <c r="L28" s="37">
        <f>J28/K28</f>
        <v>267.67477122454488</v>
      </c>
    </row>
    <row r="29" spans="1:21" x14ac:dyDescent="0.3">
      <c r="D29" t="str">
        <v>EV/EBITDA</v>
      </c>
      <c r="E29" s="37">
        <v>15.429841444143783</v>
      </c>
      <c r="H29" s="37">
        <f>E29*P25</f>
        <v>14738.738845860584</v>
      </c>
      <c r="I29" s="37">
        <f>I28</f>
        <v>399.93000000000006</v>
      </c>
      <c r="J29" s="37">
        <f>H29-I29</f>
        <v>14338.808845860583</v>
      </c>
      <c r="K29" s="37">
        <f>K28</f>
        <v>40.42</v>
      </c>
      <c r="L29" s="37">
        <f>J29/K29</f>
        <v>354.74539450422026</v>
      </c>
    </row>
    <row r="30" spans="1:21" x14ac:dyDescent="0.3">
      <c r="D30" t="str">
        <v>P/E</v>
      </c>
      <c r="E30" s="37">
        <v>35.784147579884724</v>
      </c>
      <c r="H30" s="37">
        <f>SUM(I30:J30)</f>
        <v>14775.137765791293</v>
      </c>
      <c r="I30" s="37">
        <f>I29</f>
        <v>399.93000000000006</v>
      </c>
      <c r="J30" s="37">
        <f>E30*Q25</f>
        <v>14375.207765791292</v>
      </c>
      <c r="K30" s="37">
        <f>K29</f>
        <v>40.42</v>
      </c>
      <c r="L30" s="37">
        <f>J30/K30</f>
        <v>355.64591206806756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07667-F875-498D-93D7-A38751BA4BE3}">
  <sheetPr codeName="Sheet7"/>
  <dimension ref="A1:N52"/>
  <sheetViews>
    <sheetView showGridLines="0" topLeftCell="C16" zoomScale="93" workbookViewId="0">
      <selection activeCell="H46" sqref="H46"/>
    </sheetView>
  </sheetViews>
  <sheetFormatPr defaultColWidth="11.77734375" defaultRowHeight="14.4" x14ac:dyDescent="0.3"/>
  <cols>
    <col min="1" max="3" width="1.33203125" style="1" customWidth="1"/>
    <col min="4" max="4" width="40.77734375" customWidth="1"/>
    <col min="5" max="6" width="12.77734375" customWidth="1"/>
    <col min="7" max="7" width="2.77734375" customWidth="1"/>
    <col min="8" max="8" width="25" bestFit="1" customWidth="1"/>
    <col min="9" max="9" width="12.6640625" bestFit="1" customWidth="1"/>
    <col min="10" max="10" width="11.88671875" bestFit="1" customWidth="1"/>
  </cols>
  <sheetData>
    <row r="1" spans="1:14" s="56" customFormat="1" ht="32.4" x14ac:dyDescent="0.6">
      <c r="A1" s="3" t="s">
        <v>408</v>
      </c>
      <c r="B1" s="4"/>
      <c r="C1" s="4"/>
      <c r="D1" s="5"/>
      <c r="E1" s="5"/>
      <c r="F1" s="5"/>
      <c r="G1" s="5"/>
      <c r="H1" s="5"/>
      <c r="I1" s="5"/>
      <c r="J1" s="5"/>
      <c r="K1" s="5"/>
      <c r="L1" s="5"/>
      <c r="M1" s="5"/>
      <c r="N1" s="5"/>
    </row>
    <row r="2" spans="1:14" s="56" customFormat="1" ht="23.4" x14ac:dyDescent="0.45">
      <c r="A2" s="61" t="s">
        <v>214</v>
      </c>
      <c r="B2" s="13"/>
      <c r="C2" s="4"/>
      <c r="D2" s="5"/>
      <c r="E2" s="5"/>
      <c r="F2" s="5"/>
      <c r="G2" s="5"/>
      <c r="H2" s="5"/>
      <c r="I2" s="5"/>
      <c r="J2" s="5"/>
      <c r="K2" s="5"/>
      <c r="L2" s="5"/>
      <c r="M2" s="5"/>
      <c r="N2" s="5"/>
    </row>
    <row r="5" spans="1:14" x14ac:dyDescent="0.3">
      <c r="A5" s="6" t="s">
        <v>215</v>
      </c>
      <c r="B5" s="5"/>
      <c r="C5" s="5"/>
      <c r="D5" s="5"/>
      <c r="E5" s="5"/>
      <c r="F5" s="5"/>
      <c r="G5" s="5"/>
      <c r="H5" s="5"/>
      <c r="I5" s="5"/>
      <c r="J5" s="5"/>
      <c r="K5" s="5"/>
      <c r="L5" s="5"/>
      <c r="M5" s="5"/>
      <c r="N5" s="5"/>
    </row>
    <row r="6" spans="1:14" x14ac:dyDescent="0.3">
      <c r="D6" s="2"/>
      <c r="E6" s="2"/>
      <c r="F6" s="2"/>
      <c r="G6" s="2"/>
      <c r="H6" s="85" t="s">
        <v>9</v>
      </c>
      <c r="I6" s="85" t="s">
        <v>216</v>
      </c>
      <c r="J6" s="85" t="s">
        <v>217</v>
      </c>
      <c r="K6" s="85" t="s">
        <v>217</v>
      </c>
      <c r="L6" s="85" t="s">
        <v>218</v>
      </c>
      <c r="M6" s="85" t="s">
        <v>219</v>
      </c>
      <c r="N6" s="85" t="s">
        <v>220</v>
      </c>
    </row>
    <row r="7" spans="1:14" x14ac:dyDescent="0.3">
      <c r="D7" s="63" t="s">
        <v>126</v>
      </c>
      <c r="E7" s="63"/>
      <c r="F7" s="63"/>
      <c r="G7" s="63"/>
      <c r="H7" s="86" t="s">
        <v>221</v>
      </c>
      <c r="I7" s="86" t="s">
        <v>61</v>
      </c>
      <c r="J7" s="86" t="s">
        <v>9</v>
      </c>
      <c r="K7" s="86" t="s">
        <v>222</v>
      </c>
      <c r="L7" s="86" t="s">
        <v>223</v>
      </c>
      <c r="M7" s="86" t="s">
        <v>149</v>
      </c>
      <c r="N7" s="86" t="s">
        <v>149</v>
      </c>
    </row>
    <row r="8" spans="1:14" x14ac:dyDescent="0.3">
      <c r="D8" t="str">
        <f>'Comp Data'!C3</f>
        <v>UltraTech Cem.</v>
      </c>
      <c r="H8" s="154">
        <f>Comps!J8</f>
        <v>351982.3125</v>
      </c>
      <c r="I8" s="154">
        <f>Comps!K8</f>
        <v>23755.09</v>
      </c>
      <c r="J8" s="51">
        <f>I8/H8</f>
        <v>6.7489442384977796E-2</v>
      </c>
      <c r="K8" s="51">
        <f>I8/(I8+H8)</f>
        <v>6.3222585353343949E-2</v>
      </c>
      <c r="L8" s="36">
        <f>'Comp Data'!U3</f>
        <v>0.16051272240290798</v>
      </c>
      <c r="M8" s="37">
        <f>'Comp Data'!V3</f>
        <v>1.1519999999999999</v>
      </c>
      <c r="N8" s="37">
        <f>M8/(J8*(1-L8)+1)</f>
        <v>1.090231280644435</v>
      </c>
    </row>
    <row r="9" spans="1:14" x14ac:dyDescent="0.3">
      <c r="D9" s="248" t="str">
        <f>'Comp Data'!C4</f>
        <v>Grasim Inds</v>
      </c>
      <c r="E9" s="2"/>
      <c r="F9" s="2"/>
      <c r="G9" s="2"/>
      <c r="H9" s="154">
        <f>Comps!J9</f>
        <v>213016.91500000001</v>
      </c>
      <c r="I9" s="154">
        <f>Comps!K9</f>
        <v>227853.06</v>
      </c>
      <c r="J9" s="51">
        <f t="shared" ref="J9:J20" si="0">I9/H9</f>
        <v>1.069647731965323</v>
      </c>
      <c r="K9" s="51">
        <f t="shared" ref="K9:K20" si="1">I9/(I9+H9)</f>
        <v>0.51682598707249228</v>
      </c>
      <c r="L9" s="36">
        <f>'Comp Data'!U4</f>
        <v>0.28349999999999997</v>
      </c>
      <c r="M9" s="37">
        <f>'Comp Data'!V4</f>
        <v>1.1639999999999999</v>
      </c>
      <c r="N9" s="37">
        <f t="shared" ref="N9:N20" si="2">M9/(J9*(1-L9)+1)</f>
        <v>0.65896642137577799</v>
      </c>
    </row>
    <row r="10" spans="1:14" x14ac:dyDescent="0.3">
      <c r="D10" t="str">
        <f>'Comp Data'!C5</f>
        <v>Ambuja Cements</v>
      </c>
      <c r="H10" s="154">
        <f>Comps!J10</f>
        <v>109356.048</v>
      </c>
      <c r="I10" s="154">
        <f>Comps!K10</f>
        <v>865.93</v>
      </c>
      <c r="J10" s="51">
        <f t="shared" si="0"/>
        <v>7.9184463579005712E-3</v>
      </c>
      <c r="K10" s="51">
        <f t="shared" si="1"/>
        <v>7.8562371653319446E-3</v>
      </c>
      <c r="L10" s="36">
        <f>'Comp Data'!U5</f>
        <v>0.2036056854965464</v>
      </c>
      <c r="M10" s="37">
        <f>'Comp Data'!V5</f>
        <v>1.1639999999999999</v>
      </c>
      <c r="N10" s="37">
        <f t="shared" si="2"/>
        <v>1.1567055767459744</v>
      </c>
    </row>
    <row r="11" spans="1:14" x14ac:dyDescent="0.3">
      <c r="D11" t="str">
        <f>'Comp Data'!C6</f>
        <v>Shree Cement</v>
      </c>
      <c r="H11" s="154">
        <f>Comps!J11</f>
        <v>96907.922999999995</v>
      </c>
      <c r="I11" s="154">
        <f>Comps!K11</f>
        <v>1868.14</v>
      </c>
      <c r="J11" s="51">
        <f t="shared" si="0"/>
        <v>1.927747435057503E-2</v>
      </c>
      <c r="K11" s="51">
        <f t="shared" si="1"/>
        <v>1.8912881757597488E-2</v>
      </c>
      <c r="L11" s="36">
        <f>'Comp Data'!U6</f>
        <v>0.2096755393873958</v>
      </c>
      <c r="M11" s="37">
        <f>'Comp Data'!V6</f>
        <v>1.0069999999999999</v>
      </c>
      <c r="N11" s="37">
        <f t="shared" si="2"/>
        <v>0.99188812857068576</v>
      </c>
    </row>
    <row r="12" spans="1:14" x14ac:dyDescent="0.3">
      <c r="D12" t="str">
        <f>'Comp Data'!C7</f>
        <v>J K Cements</v>
      </c>
      <c r="H12" s="154">
        <f>Comps!J12</f>
        <v>42610.465500000006</v>
      </c>
      <c r="I12" s="154">
        <f>Comps!K12</f>
        <v>6182.99</v>
      </c>
      <c r="J12" s="51">
        <f t="shared" si="0"/>
        <v>0.14510496253555361</v>
      </c>
      <c r="K12" s="51">
        <f t="shared" si="1"/>
        <v>0.12671760867602416</v>
      </c>
      <c r="L12" s="36">
        <f>'Comp Data'!U7</f>
        <v>0.4804141448277981</v>
      </c>
      <c r="M12" s="37">
        <f>'Comp Data'!V7</f>
        <v>1.214</v>
      </c>
      <c r="N12" s="37">
        <f t="shared" si="2"/>
        <v>1.1288880645654982</v>
      </c>
    </row>
    <row r="13" spans="1:14" x14ac:dyDescent="0.3">
      <c r="D13" t="str">
        <f>'Comp Data'!C8</f>
        <v>Dalmia BharatLtd</v>
      </c>
      <c r="H13" s="154">
        <f>Comps!J13</f>
        <v>33974.36</v>
      </c>
      <c r="I13" s="154">
        <f>Comps!K13</f>
        <v>7406</v>
      </c>
      <c r="J13" s="51">
        <f t="shared" si="0"/>
        <v>0.21798791794753455</v>
      </c>
      <c r="K13" s="51">
        <f t="shared" si="1"/>
        <v>0.17897379336477498</v>
      </c>
      <c r="L13" s="36">
        <f>'Comp Data'!U8</f>
        <v>0.20392928023888857</v>
      </c>
      <c r="M13" s="37">
        <f>'Comp Data'!V8</f>
        <v>1.244</v>
      </c>
      <c r="N13" s="37">
        <f t="shared" si="2"/>
        <v>1.0600461625697999</v>
      </c>
    </row>
    <row r="14" spans="1:14" x14ac:dyDescent="0.3">
      <c r="D14" t="str">
        <f>'Comp Data'!C9</f>
        <v>ACC</v>
      </c>
      <c r="H14" s="154">
        <f>Comps!J14</f>
        <v>26066.640000000003</v>
      </c>
      <c r="I14" s="154">
        <f>Comps!K14</f>
        <v>428.61</v>
      </c>
      <c r="J14" s="51">
        <f t="shared" si="0"/>
        <v>1.6442855696016057E-2</v>
      </c>
      <c r="K14" s="51">
        <f t="shared" si="1"/>
        <v>1.6176861890338831E-2</v>
      </c>
      <c r="L14" s="36">
        <f>'Comp Data'!U9</f>
        <v>0.29358227968037731</v>
      </c>
      <c r="M14" s="37">
        <f>'Comp Data'!V9</f>
        <v>1.1200000000000001</v>
      </c>
      <c r="N14" s="37">
        <f t="shared" si="2"/>
        <v>1.1071399881913044</v>
      </c>
    </row>
    <row r="15" spans="1:14" x14ac:dyDescent="0.3">
      <c r="D15" t="str">
        <f>'Comp Data'!C10</f>
        <v>The Ramco Cement</v>
      </c>
      <c r="H15" s="154">
        <f>Comps!J15</f>
        <v>22310.264499999997</v>
      </c>
      <c r="I15" s="154">
        <f>Comps!K15</f>
        <v>3871.1</v>
      </c>
      <c r="J15" s="51">
        <f t="shared" si="0"/>
        <v>0.17351206212727779</v>
      </c>
      <c r="K15" s="51">
        <f t="shared" si="1"/>
        <v>0.14785707597478354</v>
      </c>
      <c r="L15" s="36">
        <f>'Comp Data'!U10</f>
        <v>0.32532741716166891</v>
      </c>
      <c r="M15" s="37">
        <f>'Comp Data'!V10</f>
        <v>0.97</v>
      </c>
      <c r="N15" s="37">
        <f t="shared" si="2"/>
        <v>0.86834787143451664</v>
      </c>
    </row>
    <row r="16" spans="1:14" x14ac:dyDescent="0.3">
      <c r="D16" t="str">
        <f>'Comp Data'!C11</f>
        <v>JSW Cement</v>
      </c>
      <c r="H16" s="154">
        <f>Comps!J16</f>
        <v>17962.795000000002</v>
      </c>
      <c r="I16" s="154">
        <f>Comps!K16</f>
        <v>4464.3900000000003</v>
      </c>
      <c r="J16" s="51">
        <f t="shared" si="0"/>
        <v>0.2485353754802635</v>
      </c>
      <c r="K16" s="51">
        <f t="shared" si="1"/>
        <v>0.19906154071498497</v>
      </c>
      <c r="L16" s="36">
        <f>'Comp Data'!U11</f>
        <v>0.76502916277574518</v>
      </c>
      <c r="M16" s="37">
        <f>'Comp Data'!V11</f>
        <v>1.03</v>
      </c>
      <c r="N16" s="37">
        <f t="shared" si="2"/>
        <v>0.97316836380105898</v>
      </c>
    </row>
    <row r="17" spans="1:14" x14ac:dyDescent="0.3">
      <c r="D17" t="str">
        <f>'Comp Data'!C12</f>
        <v>Nuvoco Vistas</v>
      </c>
      <c r="H17" s="154">
        <f>Comps!J17</f>
        <v>12403.77</v>
      </c>
      <c r="I17" s="154">
        <f>Comps!K17</f>
        <v>4916.1000000000004</v>
      </c>
      <c r="J17" s="51">
        <f t="shared" si="0"/>
        <v>0.39633917752425274</v>
      </c>
      <c r="K17" s="51">
        <f t="shared" si="1"/>
        <v>0.28384162236783528</v>
      </c>
      <c r="L17" s="36">
        <f>'Comp Data'!U12</f>
        <v>0.23195739656377262</v>
      </c>
      <c r="M17" s="37">
        <f>'Comp Data'!V12</f>
        <v>0.879</v>
      </c>
      <c r="N17" s="37">
        <f t="shared" si="2"/>
        <v>0.67387026892822688</v>
      </c>
    </row>
    <row r="18" spans="1:14" x14ac:dyDescent="0.3">
      <c r="D18" t="str">
        <f>'Comp Data'!C13</f>
        <v>India Cements</v>
      </c>
      <c r="H18" s="154">
        <f>Comps!J18</f>
        <v>12272.039999999999</v>
      </c>
      <c r="I18" s="154">
        <f>Comps!K18</f>
        <v>1304.8</v>
      </c>
      <c r="J18" s="51">
        <f t="shared" si="0"/>
        <v>0.10632299112454001</v>
      </c>
      <c r="K18" s="51">
        <f t="shared" si="1"/>
        <v>9.6104837355378725E-2</v>
      </c>
      <c r="L18" s="36">
        <f>'Comp Data'!U13</f>
        <v>0.44888888888888889</v>
      </c>
      <c r="M18" s="37">
        <f>'Comp Data'!V13</f>
        <v>1.3939999999999999</v>
      </c>
      <c r="N18" s="37">
        <f t="shared" si="2"/>
        <v>1.3168388009842751</v>
      </c>
    </row>
    <row r="19" spans="1:14" s="2" customFormat="1" x14ac:dyDescent="0.3">
      <c r="A19" s="16"/>
      <c r="B19" s="16"/>
      <c r="C19" s="16"/>
      <c r="D19" s="2" t="str">
        <f>'Comp Data'!C14</f>
        <v>Star Cement</v>
      </c>
      <c r="H19" s="256">
        <f>Comps!J19</f>
        <v>8041.1548000000003</v>
      </c>
      <c r="I19" s="256">
        <f>Comps!K19</f>
        <v>603.33000000000004</v>
      </c>
      <c r="J19" s="257">
        <f t="shared" si="0"/>
        <v>7.5030268040605308E-2</v>
      </c>
      <c r="K19" s="257">
        <f t="shared" si="1"/>
        <v>6.9793633045661677E-2</v>
      </c>
      <c r="L19" s="258">
        <f>'Comp Data'!U14</f>
        <v>0.31034053569650499</v>
      </c>
      <c r="M19" s="105">
        <f>'Comp Data'!V14</f>
        <v>0.75</v>
      </c>
      <c r="N19" s="105">
        <f t="shared" si="2"/>
        <v>0.71310038221622074</v>
      </c>
    </row>
    <row r="20" spans="1:14" x14ac:dyDescent="0.3">
      <c r="D20" t="str">
        <f>'Comp Data'!C15</f>
        <v>JK Lakshmi Cem.</v>
      </c>
      <c r="H20" s="154">
        <f>Comps!J20</f>
        <v>7074.9410000000007</v>
      </c>
      <c r="I20" s="154">
        <f>Comps!K20</f>
        <v>2585.7800000000002</v>
      </c>
      <c r="J20" s="51">
        <f t="shared" si="0"/>
        <v>0.36548431993991187</v>
      </c>
      <c r="K20" s="51">
        <f t="shared" si="1"/>
        <v>0.2676591115714862</v>
      </c>
      <c r="L20" s="36">
        <f>'Comp Data'!U15</f>
        <v>0.11470543844644564</v>
      </c>
      <c r="M20" s="37">
        <f>'Comp Data'!V15</f>
        <v>1.119</v>
      </c>
      <c r="N20" s="37">
        <f t="shared" si="2"/>
        <v>0.845446309326921</v>
      </c>
    </row>
    <row r="21" spans="1:14" x14ac:dyDescent="0.3">
      <c r="L21" s="36"/>
      <c r="M21" s="37"/>
      <c r="N21" s="37"/>
    </row>
    <row r="22" spans="1:14" x14ac:dyDescent="0.3">
      <c r="D22" s="90" t="s">
        <v>166</v>
      </c>
      <c r="E22" s="90"/>
      <c r="F22" s="90"/>
      <c r="G22" s="90"/>
      <c r="H22" s="91">
        <f>AVERAGE(H8:H20)</f>
        <v>73383.048407692317</v>
      </c>
      <c r="I22" s="91">
        <f>AVERAGE(I8:I20)</f>
        <v>22008.101538461535</v>
      </c>
      <c r="J22" s="92">
        <f>AVERAGE(J8:J20)</f>
        <v>0.22377638657497936</v>
      </c>
      <c r="K22" s="92">
        <f t="shared" ref="K22:L22" si="3">AVERAGE(K8:K20)</f>
        <v>0.15330798279307953</v>
      </c>
      <c r="L22" s="92">
        <f t="shared" si="3"/>
        <v>0.31011296088976459</v>
      </c>
      <c r="M22" s="93">
        <f>AVERAGE(M8:M20)</f>
        <v>1.0928461538461536</v>
      </c>
      <c r="N22" s="93">
        <f>AVERAGE(N8:N20)</f>
        <v>0.96804904764266886</v>
      </c>
    </row>
    <row r="23" spans="1:14" x14ac:dyDescent="0.3">
      <c r="D23" s="90" t="s">
        <v>167</v>
      </c>
      <c r="E23" s="90"/>
      <c r="F23" s="90"/>
      <c r="G23" s="90"/>
      <c r="H23" s="91">
        <f>MEDIAN(H9:H21)</f>
        <v>24188.452250000002</v>
      </c>
      <c r="I23" s="91">
        <f>MEDIAN(I9:I21)</f>
        <v>3228.44</v>
      </c>
      <c r="J23" s="92">
        <f>MEDIAN(J8:J20)</f>
        <v>0.14510496253555361</v>
      </c>
      <c r="K23" s="92">
        <f t="shared" ref="K23:L23" si="4">MEDIAN(K8:K20)</f>
        <v>0.12671760867602416</v>
      </c>
      <c r="L23" s="92">
        <f t="shared" si="4"/>
        <v>0.28349999999999997</v>
      </c>
      <c r="M23" s="93">
        <f>MEDIAN(M8:M20)</f>
        <v>1.1200000000000001</v>
      </c>
      <c r="N23" s="93">
        <f>MEDIAN(N8:N20)</f>
        <v>0.99188812857068576</v>
      </c>
    </row>
    <row r="25" spans="1:14" x14ac:dyDescent="0.3">
      <c r="D25" s="36" t="str">
        <f>D19</f>
        <v>Star Cement</v>
      </c>
      <c r="E25" s="36"/>
      <c r="F25" s="36"/>
      <c r="G25" s="36"/>
      <c r="H25" s="249">
        <f t="shared" ref="H25:N25" si="5">H19</f>
        <v>8041.1548000000003</v>
      </c>
      <c r="I25" s="249">
        <f t="shared" si="5"/>
        <v>603.33000000000004</v>
      </c>
      <c r="J25" s="51">
        <f t="shared" si="5"/>
        <v>7.5030268040605308E-2</v>
      </c>
      <c r="K25" s="51">
        <f t="shared" si="5"/>
        <v>6.9793633045661677E-2</v>
      </c>
      <c r="L25" s="36">
        <f t="shared" si="5"/>
        <v>0.31034053569650499</v>
      </c>
      <c r="M25" s="252">
        <f>M19</f>
        <v>0.75</v>
      </c>
      <c r="N25" s="252">
        <f t="shared" si="5"/>
        <v>0.71310038221622074</v>
      </c>
    </row>
    <row r="27" spans="1:14" x14ac:dyDescent="0.3">
      <c r="A27" s="6" t="s">
        <v>224</v>
      </c>
      <c r="B27" s="5"/>
      <c r="C27" s="5"/>
      <c r="D27" s="5"/>
      <c r="E27" s="5"/>
      <c r="F27" s="5"/>
      <c r="G27" s="5"/>
      <c r="H27" s="5"/>
      <c r="I27" s="5"/>
      <c r="J27" s="5"/>
      <c r="K27" s="5"/>
      <c r="L27" s="5"/>
      <c r="M27" s="5"/>
      <c r="N27" s="10"/>
    </row>
    <row r="29" spans="1:14" x14ac:dyDescent="0.3">
      <c r="C29" s="94" t="s">
        <v>225</v>
      </c>
      <c r="D29" s="90"/>
      <c r="E29" s="90"/>
      <c r="F29" s="90"/>
      <c r="G29" s="90"/>
      <c r="H29" s="90"/>
    </row>
    <row r="31" spans="1:14" x14ac:dyDescent="0.3">
      <c r="D31" s="87" t="s">
        <v>226</v>
      </c>
      <c r="E31" s="17"/>
      <c r="F31" s="17"/>
      <c r="G31" s="17"/>
      <c r="H31" s="88">
        <f>K23</f>
        <v>0.12671760867602416</v>
      </c>
    </row>
    <row r="32" spans="1:14" x14ac:dyDescent="0.3">
      <c r="D32" s="1" t="s">
        <v>227</v>
      </c>
      <c r="H32" s="51">
        <f>1-H31</f>
        <v>0.87328239132397578</v>
      </c>
    </row>
    <row r="34" spans="3:8" x14ac:dyDescent="0.3">
      <c r="C34" s="94" t="s">
        <v>228</v>
      </c>
      <c r="D34" s="90"/>
      <c r="E34" s="90"/>
      <c r="F34" s="90"/>
      <c r="G34" s="90"/>
      <c r="H34" s="90"/>
    </row>
    <row r="35" spans="3:8" x14ac:dyDescent="0.3">
      <c r="D35" t="s">
        <v>157</v>
      </c>
      <c r="H35" s="60">
        <f>H25</f>
        <v>8041.1548000000003</v>
      </c>
    </row>
    <row r="36" spans="3:8" x14ac:dyDescent="0.3">
      <c r="D36" t="s">
        <v>229</v>
      </c>
      <c r="H36" s="60">
        <f>I25</f>
        <v>603.33000000000004</v>
      </c>
    </row>
    <row r="37" spans="3:8" x14ac:dyDescent="0.3">
      <c r="D37" t="s">
        <v>230</v>
      </c>
      <c r="H37" s="51">
        <f>J25</f>
        <v>7.5030268040605308E-2</v>
      </c>
    </row>
    <row r="39" spans="3:8" x14ac:dyDescent="0.3">
      <c r="C39" s="94" t="s">
        <v>231</v>
      </c>
      <c r="D39" s="90"/>
      <c r="E39" s="90"/>
      <c r="F39" s="90"/>
      <c r="G39" s="90"/>
      <c r="H39" s="90"/>
    </row>
    <row r="40" spans="3:8" x14ac:dyDescent="0.3">
      <c r="D40" t="s">
        <v>232</v>
      </c>
      <c r="H40" s="51">
        <f>Model!M12</f>
        <v>5.7931467103816983E-2</v>
      </c>
    </row>
    <row r="41" spans="3:8" x14ac:dyDescent="0.3">
      <c r="D41" t="s">
        <v>180</v>
      </c>
      <c r="H41" s="51">
        <f>Model!M13</f>
        <v>0.25560460784368472</v>
      </c>
    </row>
    <row r="42" spans="3:8" x14ac:dyDescent="0.3">
      <c r="D42" t="s">
        <v>233</v>
      </c>
      <c r="H42" s="51">
        <f>H40*(1-H41)</f>
        <v>4.3123917172936524E-2</v>
      </c>
    </row>
    <row r="44" spans="3:8" x14ac:dyDescent="0.3">
      <c r="C44" s="94" t="s">
        <v>234</v>
      </c>
      <c r="D44" s="90"/>
      <c r="E44" s="90"/>
      <c r="F44" s="90"/>
      <c r="G44" s="90"/>
      <c r="H44" s="90"/>
    </row>
    <row r="45" spans="3:8" x14ac:dyDescent="0.3">
      <c r="D45" t="s">
        <v>235</v>
      </c>
      <c r="H45" s="51">
        <v>7.0300000000000001E-2</v>
      </c>
    </row>
    <row r="46" spans="3:8" x14ac:dyDescent="0.3">
      <c r="D46" t="s">
        <v>139</v>
      </c>
      <c r="H46" s="51">
        <f>'Market Data'!H9</f>
        <v>0.11561681911953037</v>
      </c>
    </row>
    <row r="47" spans="3:8" x14ac:dyDescent="0.3">
      <c r="D47" t="s">
        <v>236</v>
      </c>
      <c r="H47" s="51">
        <f>H46-H45</f>
        <v>4.5316819119530366E-2</v>
      </c>
    </row>
    <row r="48" spans="3:8" x14ac:dyDescent="0.3">
      <c r="D48" t="s">
        <v>237</v>
      </c>
      <c r="H48" s="37">
        <f>N22*(1+H37*(1-H41))</f>
        <v>1.0221167029167464</v>
      </c>
    </row>
    <row r="49" spans="4:8" x14ac:dyDescent="0.3">
      <c r="D49" s="18" t="s">
        <v>234</v>
      </c>
      <c r="E49" s="17"/>
      <c r="F49" s="17"/>
      <c r="G49" s="17"/>
      <c r="H49" s="88">
        <f>H45+H47*H48</f>
        <v>0.11661907774512895</v>
      </c>
    </row>
    <row r="51" spans="4:8" ht="15" thickBot="1" x14ac:dyDescent="0.35">
      <c r="D51" s="19" t="s">
        <v>238</v>
      </c>
      <c r="E51" s="19"/>
      <c r="F51" s="19"/>
      <c r="G51" s="19"/>
      <c r="H51" s="89">
        <f>(H49*H32)+(H42*H31)</f>
        <v>0.1073059467481603</v>
      </c>
    </row>
    <row r="52" spans="4:8" ht="15" thickTop="1" x14ac:dyDescent="0.3"/>
  </sheetData>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C3C4F-1086-49FB-B96D-BDEDDF0762E0}">
  <sheetPr codeName="Sheet8"/>
  <dimension ref="A1:Q271"/>
  <sheetViews>
    <sheetView showGridLines="0" zoomScale="79" zoomScaleNormal="100" workbookViewId="0">
      <selection activeCell="I13" sqref="I13"/>
    </sheetView>
  </sheetViews>
  <sheetFormatPr defaultRowHeight="14.4" x14ac:dyDescent="0.3"/>
  <cols>
    <col min="1" max="4" width="14.44140625" customWidth="1"/>
    <col min="9" max="9" width="9.5546875" bestFit="1" customWidth="1"/>
  </cols>
  <sheetData>
    <row r="1" spans="1:9" ht="32.4" x14ac:dyDescent="0.6">
      <c r="A1" s="3" t="s">
        <v>408</v>
      </c>
      <c r="B1" s="4"/>
      <c r="C1" s="4"/>
      <c r="D1" s="5"/>
      <c r="E1" s="5"/>
    </row>
    <row r="2" spans="1:9" ht="23.4" x14ac:dyDescent="0.45">
      <c r="A2" s="61" t="s">
        <v>150</v>
      </c>
      <c r="B2" s="13"/>
      <c r="C2" s="4"/>
      <c r="D2" s="5"/>
      <c r="E2" s="5"/>
    </row>
    <row r="3" spans="1:9" x14ac:dyDescent="0.3">
      <c r="A3" s="111" t="s">
        <v>145</v>
      </c>
      <c r="B3" s="111" t="s">
        <v>141</v>
      </c>
      <c r="C3" s="111" t="s">
        <v>142</v>
      </c>
      <c r="D3" s="111" t="s">
        <v>143</v>
      </c>
      <c r="E3" s="111" t="s">
        <v>144</v>
      </c>
    </row>
    <row r="4" spans="1:9" x14ac:dyDescent="0.3">
      <c r="A4" s="57">
        <v>44417</v>
      </c>
      <c r="B4" s="44">
        <v>115.11895751953119</v>
      </c>
      <c r="C4" s="44">
        <v>16529.099609375</v>
      </c>
      <c r="D4" s="36">
        <v>-1.8763694130196851E-2</v>
      </c>
      <c r="E4" s="36">
        <v>3.3894725818587552E-2</v>
      </c>
    </row>
    <row r="5" spans="1:9" x14ac:dyDescent="0.3">
      <c r="A5" s="57">
        <f>A4+7</f>
        <v>44424</v>
      </c>
      <c r="B5" s="44">
        <v>114.7221603393555</v>
      </c>
      <c r="C5" s="44">
        <v>16450.5</v>
      </c>
      <c r="D5" s="36">
        <f>B5/B4-1</f>
        <v>-3.4468448005914309E-3</v>
      </c>
      <c r="E5" s="36">
        <f>C5/C4-1</f>
        <v>-4.7552263119292615E-3</v>
      </c>
      <c r="F5" s="36"/>
    </row>
    <row r="6" spans="1:9" x14ac:dyDescent="0.3">
      <c r="A6" s="57">
        <f t="shared" ref="A6:A69" si="0">A5+7</f>
        <v>44431</v>
      </c>
      <c r="B6" s="44">
        <v>105.8935623168945</v>
      </c>
      <c r="C6" s="44">
        <v>16705.19921875</v>
      </c>
      <c r="D6" s="36">
        <f t="shared" ref="D6:D69" si="1">B6/B5-1</f>
        <v>-7.6956343886354972E-2</v>
      </c>
      <c r="E6" s="36">
        <f t="shared" ref="E6:E69" si="2">C6/C5-1</f>
        <v>1.5482764581623565E-2</v>
      </c>
      <c r="F6" s="36"/>
    </row>
    <row r="7" spans="1:9" x14ac:dyDescent="0.3">
      <c r="A7" s="57">
        <f t="shared" si="0"/>
        <v>44438</v>
      </c>
      <c r="B7" s="44">
        <v>106.33995056152339</v>
      </c>
      <c r="C7" s="44">
        <v>17323.599609375</v>
      </c>
      <c r="D7" s="36">
        <f t="shared" si="1"/>
        <v>4.2154427036182884E-3</v>
      </c>
      <c r="E7" s="36">
        <f t="shared" si="2"/>
        <v>3.7018438542828269E-2</v>
      </c>
      <c r="F7" s="36"/>
    </row>
    <row r="8" spans="1:9" x14ac:dyDescent="0.3">
      <c r="A8" s="57">
        <f t="shared" si="0"/>
        <v>44445</v>
      </c>
      <c r="B8" s="44">
        <v>106.4391555786133</v>
      </c>
      <c r="C8" s="44">
        <v>17369.25</v>
      </c>
      <c r="D8" s="36">
        <f t="shared" si="1"/>
        <v>9.3290448759897338E-4</v>
      </c>
      <c r="E8" s="36">
        <f t="shared" si="2"/>
        <v>2.6351561831465808E-3</v>
      </c>
      <c r="F8" s="36"/>
    </row>
    <row r="9" spans="1:9" x14ac:dyDescent="0.3">
      <c r="A9" s="57">
        <f t="shared" si="0"/>
        <v>44452</v>
      </c>
      <c r="B9" s="44">
        <v>107.7783203125</v>
      </c>
      <c r="C9" s="44">
        <v>17585.150390625</v>
      </c>
      <c r="D9" s="36">
        <f t="shared" si="1"/>
        <v>1.2581504678488731E-2</v>
      </c>
      <c r="E9" s="36">
        <f t="shared" si="2"/>
        <v>1.2430035299451525E-2</v>
      </c>
      <c r="F9" s="36"/>
    </row>
    <row r="10" spans="1:9" x14ac:dyDescent="0.3">
      <c r="A10" s="57">
        <f t="shared" si="0"/>
        <v>44459</v>
      </c>
      <c r="B10" s="44">
        <v>106.984733581543</v>
      </c>
      <c r="C10" s="44">
        <v>17853.19921875</v>
      </c>
      <c r="D10" s="36">
        <f t="shared" si="1"/>
        <v>-7.3631387894710354E-3</v>
      </c>
      <c r="E10" s="36">
        <f t="shared" si="2"/>
        <v>1.5242907917802251E-2</v>
      </c>
      <c r="F10" s="36"/>
    </row>
    <row r="11" spans="1:9" x14ac:dyDescent="0.3">
      <c r="A11" s="57">
        <f t="shared" si="0"/>
        <v>44466</v>
      </c>
      <c r="B11" s="44">
        <v>106.38954925537109</v>
      </c>
      <c r="C11" s="44">
        <v>17532.05078125</v>
      </c>
      <c r="D11" s="36">
        <f t="shared" si="1"/>
        <v>-5.5632640868171768E-3</v>
      </c>
      <c r="E11" s="36">
        <f t="shared" si="2"/>
        <v>-1.7988285100337675E-2</v>
      </c>
      <c r="F11" s="36"/>
      <c r="H11" s="103" t="s">
        <v>149</v>
      </c>
      <c r="I11" s="104">
        <f>SLOPE(D4:D272,E4:E272)</f>
        <v>0.72968522990475004</v>
      </c>
    </row>
    <row r="12" spans="1:9" x14ac:dyDescent="0.3">
      <c r="A12" s="57">
        <f t="shared" si="0"/>
        <v>44473</v>
      </c>
      <c r="B12" s="44">
        <v>105.64556884765619</v>
      </c>
      <c r="C12" s="44">
        <v>17895.19921875</v>
      </c>
      <c r="D12" s="36">
        <f t="shared" si="1"/>
        <v>-6.9929839248504821E-3</v>
      </c>
      <c r="E12" s="36">
        <f t="shared" si="2"/>
        <v>2.0713403242498929E-2</v>
      </c>
      <c r="F12" s="36"/>
      <c r="H12" s="103" t="s">
        <v>240</v>
      </c>
      <c r="I12" s="104">
        <f>RSQ(D4:D272,E4:E272)</f>
        <v>0.10279599485025051</v>
      </c>
    </row>
    <row r="13" spans="1:9" x14ac:dyDescent="0.3">
      <c r="A13" s="57">
        <f t="shared" si="0"/>
        <v>44480</v>
      </c>
      <c r="B13" s="44">
        <v>103.06642913818359</v>
      </c>
      <c r="C13" s="44">
        <v>18338.55078125</v>
      </c>
      <c r="D13" s="36">
        <f t="shared" si="1"/>
        <v>-2.4413136656888934E-2</v>
      </c>
      <c r="E13" s="36">
        <f t="shared" si="2"/>
        <v>2.4774888341867252E-2</v>
      </c>
    </row>
    <row r="14" spans="1:9" x14ac:dyDescent="0.3">
      <c r="A14" s="57">
        <f t="shared" si="0"/>
        <v>44487</v>
      </c>
      <c r="B14" s="44">
        <v>99.842498779296875</v>
      </c>
      <c r="C14" s="44">
        <v>18114.900390625</v>
      </c>
      <c r="D14" s="36">
        <f t="shared" si="1"/>
        <v>-3.1280120848703463E-2</v>
      </c>
      <c r="E14" s="36">
        <f t="shared" si="2"/>
        <v>-1.2195641481859476E-2</v>
      </c>
    </row>
    <row r="15" spans="1:9" x14ac:dyDescent="0.3">
      <c r="A15" s="57">
        <f t="shared" si="0"/>
        <v>44494</v>
      </c>
      <c r="B15" s="44">
        <v>98.999320983886719</v>
      </c>
      <c r="C15" s="44">
        <v>17671.650390625</v>
      </c>
      <c r="D15" s="36">
        <f t="shared" si="1"/>
        <v>-8.4450790567052181E-3</v>
      </c>
      <c r="E15" s="36">
        <f t="shared" si="2"/>
        <v>-2.4468806918165331E-2</v>
      </c>
    </row>
    <row r="16" spans="1:9" x14ac:dyDescent="0.3">
      <c r="A16" s="57">
        <f t="shared" si="0"/>
        <v>44501</v>
      </c>
      <c r="B16" s="44">
        <v>99.792900085449219</v>
      </c>
      <c r="C16" s="44">
        <v>17916.80078125</v>
      </c>
      <c r="D16" s="36">
        <f t="shared" si="1"/>
        <v>8.0160055005999986E-3</v>
      </c>
      <c r="E16" s="36">
        <f t="shared" si="2"/>
        <v>1.3872523799761005E-2</v>
      </c>
    </row>
    <row r="17" spans="1:17" x14ac:dyDescent="0.3">
      <c r="A17" s="57">
        <f t="shared" si="0"/>
        <v>44508</v>
      </c>
      <c r="B17" s="44">
        <v>101.33046722412109</v>
      </c>
      <c r="C17" s="44">
        <v>18102.75</v>
      </c>
      <c r="D17" s="36">
        <f t="shared" si="1"/>
        <v>1.5407580472712068E-2</v>
      </c>
      <c r="E17" s="36">
        <f t="shared" si="2"/>
        <v>1.037848335873659E-2</v>
      </c>
    </row>
    <row r="18" spans="1:17" x14ac:dyDescent="0.3">
      <c r="A18" s="57">
        <f t="shared" si="0"/>
        <v>44515</v>
      </c>
      <c r="B18" s="44">
        <v>96.7177734375</v>
      </c>
      <c r="C18" s="44">
        <v>17764.80078125</v>
      </c>
      <c r="D18" s="36">
        <f t="shared" si="1"/>
        <v>-4.5521291996205027E-2</v>
      </c>
      <c r="E18" s="36">
        <f t="shared" si="2"/>
        <v>-1.8668391197469991E-2</v>
      </c>
    </row>
    <row r="19" spans="1:17" x14ac:dyDescent="0.3">
      <c r="A19" s="57">
        <f t="shared" si="0"/>
        <v>44522</v>
      </c>
      <c r="B19" s="44">
        <v>94.337028503417969</v>
      </c>
      <c r="C19" s="44">
        <v>17026.44921875</v>
      </c>
      <c r="D19" s="36">
        <f t="shared" si="1"/>
        <v>-2.4615381945496173E-2</v>
      </c>
      <c r="E19" s="36">
        <f t="shared" si="2"/>
        <v>-4.1562614272561915E-2</v>
      </c>
    </row>
    <row r="20" spans="1:17" x14ac:dyDescent="0.3">
      <c r="A20" s="57">
        <f t="shared" si="0"/>
        <v>44529</v>
      </c>
      <c r="B20" s="44">
        <v>96.5689697265625</v>
      </c>
      <c r="C20" s="44">
        <v>17196.69921875</v>
      </c>
      <c r="D20" s="36">
        <f t="shared" si="1"/>
        <v>2.3659227543547878E-2</v>
      </c>
      <c r="E20" s="36">
        <f t="shared" si="2"/>
        <v>9.9991488426438568E-3</v>
      </c>
    </row>
    <row r="21" spans="1:17" x14ac:dyDescent="0.3">
      <c r="A21" s="57">
        <f t="shared" si="0"/>
        <v>44536</v>
      </c>
      <c r="B21" s="44">
        <v>95.924186706542969</v>
      </c>
      <c r="C21" s="44">
        <v>17511.30078125</v>
      </c>
      <c r="D21" s="36">
        <f t="shared" si="1"/>
        <v>-6.6769172524595577E-3</v>
      </c>
      <c r="E21" s="36">
        <f t="shared" si="2"/>
        <v>1.8294299301169437E-2</v>
      </c>
    </row>
    <row r="22" spans="1:17" x14ac:dyDescent="0.3">
      <c r="A22" s="57">
        <f t="shared" si="0"/>
        <v>44543</v>
      </c>
      <c r="B22" s="44">
        <v>93.741844177246094</v>
      </c>
      <c r="C22" s="44">
        <v>16985.19921875</v>
      </c>
      <c r="D22" s="36">
        <f t="shared" si="1"/>
        <v>-2.2750701405196416E-2</v>
      </c>
      <c r="E22" s="36">
        <f t="shared" si="2"/>
        <v>-3.0043545540792471E-2</v>
      </c>
    </row>
    <row r="23" spans="1:17" x14ac:dyDescent="0.3">
      <c r="A23" s="57">
        <f t="shared" si="0"/>
        <v>44550</v>
      </c>
      <c r="B23" s="44">
        <v>93.841041564941406</v>
      </c>
      <c r="C23" s="44">
        <v>17003.75</v>
      </c>
      <c r="D23" s="36">
        <f t="shared" si="1"/>
        <v>1.0581975271124477E-3</v>
      </c>
      <c r="E23" s="36">
        <f t="shared" si="2"/>
        <v>1.092173309896971E-3</v>
      </c>
    </row>
    <row r="24" spans="1:17" x14ac:dyDescent="0.3">
      <c r="A24" s="57">
        <f t="shared" si="0"/>
        <v>44557</v>
      </c>
      <c r="B24" s="44">
        <v>94.535430908203125</v>
      </c>
      <c r="C24" s="44">
        <v>17354.05078125</v>
      </c>
      <c r="D24" s="36">
        <f t="shared" si="1"/>
        <v>7.3996338028832209E-3</v>
      </c>
      <c r="E24" s="36">
        <f t="shared" si="2"/>
        <v>2.0601383885907598E-2</v>
      </c>
      <c r="Q24" s="106"/>
    </row>
    <row r="25" spans="1:17" x14ac:dyDescent="0.3">
      <c r="A25" s="57">
        <f t="shared" si="0"/>
        <v>44564</v>
      </c>
      <c r="B25" s="44">
        <v>101.33046722412109</v>
      </c>
      <c r="C25" s="44">
        <v>17812.69921875</v>
      </c>
      <c r="D25" s="36">
        <f t="shared" si="1"/>
        <v>7.1878196890181378E-2</v>
      </c>
      <c r="E25" s="36">
        <f t="shared" si="2"/>
        <v>2.642889797208281E-2</v>
      </c>
    </row>
    <row r="26" spans="1:17" x14ac:dyDescent="0.3">
      <c r="A26" s="57">
        <f t="shared" si="0"/>
        <v>44571</v>
      </c>
      <c r="B26" s="44">
        <v>99.296913146972656</v>
      </c>
      <c r="C26" s="44">
        <v>18255.75</v>
      </c>
      <c r="D26" s="36">
        <f t="shared" si="1"/>
        <v>-2.0068535484501937E-2</v>
      </c>
      <c r="E26" s="36">
        <f t="shared" si="2"/>
        <v>2.4872748133738076E-2</v>
      </c>
    </row>
    <row r="27" spans="1:17" x14ac:dyDescent="0.3">
      <c r="A27" s="57">
        <f t="shared" si="0"/>
        <v>44578</v>
      </c>
      <c r="B27" s="44">
        <v>94.58502197265625</v>
      </c>
      <c r="C27" s="44">
        <v>17617.150390625</v>
      </c>
      <c r="D27" s="36">
        <f t="shared" si="1"/>
        <v>-4.7452544343872805E-2</v>
      </c>
      <c r="E27" s="36">
        <f t="shared" si="2"/>
        <v>-3.4980738089369079E-2</v>
      </c>
    </row>
    <row r="28" spans="1:17" x14ac:dyDescent="0.3">
      <c r="A28" s="57">
        <f t="shared" si="0"/>
        <v>44585</v>
      </c>
      <c r="B28" s="44">
        <v>93.543449401855469</v>
      </c>
      <c r="C28" s="44">
        <v>17101.94921875</v>
      </c>
      <c r="D28" s="36">
        <f t="shared" si="1"/>
        <v>-1.1012024410185117E-2</v>
      </c>
      <c r="E28" s="36">
        <f t="shared" si="2"/>
        <v>-2.9244296634327704E-2</v>
      </c>
    </row>
    <row r="29" spans="1:17" x14ac:dyDescent="0.3">
      <c r="A29" s="57">
        <f t="shared" si="0"/>
        <v>44592</v>
      </c>
      <c r="B29" s="44">
        <v>93.295455932617188</v>
      </c>
      <c r="C29" s="44">
        <v>17516.30078125</v>
      </c>
      <c r="D29" s="36">
        <f t="shared" si="1"/>
        <v>-2.651104602449772E-3</v>
      </c>
      <c r="E29" s="36">
        <f t="shared" si="2"/>
        <v>2.4228323754213799E-2</v>
      </c>
    </row>
    <row r="30" spans="1:17" x14ac:dyDescent="0.3">
      <c r="A30" s="57">
        <f t="shared" si="0"/>
        <v>44599</v>
      </c>
      <c r="B30" s="44">
        <v>91.5098876953125</v>
      </c>
      <c r="C30" s="44">
        <v>17374.75</v>
      </c>
      <c r="D30" s="36">
        <f t="shared" si="1"/>
        <v>-1.9138855364984941E-2</v>
      </c>
      <c r="E30" s="36">
        <f t="shared" si="2"/>
        <v>-8.0810887537122733E-3</v>
      </c>
    </row>
    <row r="31" spans="1:17" x14ac:dyDescent="0.3">
      <c r="A31" s="57">
        <f t="shared" si="0"/>
        <v>44606</v>
      </c>
      <c r="B31" s="44">
        <v>92.303474426269531</v>
      </c>
      <c r="C31" s="44">
        <v>17276.30078125</v>
      </c>
      <c r="D31" s="36">
        <f t="shared" si="1"/>
        <v>8.6721418957405039E-3</v>
      </c>
      <c r="E31" s="36">
        <f t="shared" si="2"/>
        <v>-5.6662236147282385E-3</v>
      </c>
      <c r="M31" s="2"/>
      <c r="P31" s="2"/>
    </row>
    <row r="32" spans="1:17" x14ac:dyDescent="0.3">
      <c r="A32" s="57">
        <f t="shared" si="0"/>
        <v>44613</v>
      </c>
      <c r="B32" s="44">
        <v>88.9803466796875</v>
      </c>
      <c r="C32" s="44">
        <v>16658.400390625</v>
      </c>
      <c r="D32" s="36">
        <f t="shared" si="1"/>
        <v>-3.600219566205487E-2</v>
      </c>
      <c r="E32" s="36">
        <f t="shared" si="2"/>
        <v>-3.5765781022729648E-2</v>
      </c>
    </row>
    <row r="33" spans="1:5" x14ac:dyDescent="0.3">
      <c r="A33" s="57">
        <f t="shared" si="0"/>
        <v>44620</v>
      </c>
      <c r="B33" s="44">
        <v>87.641181945800781</v>
      </c>
      <c r="C33" s="44">
        <v>16245.349609375</v>
      </c>
      <c r="D33" s="36">
        <f t="shared" si="1"/>
        <v>-1.5050118187417971E-2</v>
      </c>
      <c r="E33" s="36">
        <f t="shared" si="2"/>
        <v>-2.4795344784872442E-2</v>
      </c>
    </row>
    <row r="34" spans="1:5" x14ac:dyDescent="0.3">
      <c r="A34" s="57">
        <f t="shared" si="0"/>
        <v>44627</v>
      </c>
      <c r="B34" s="44">
        <v>91.162704467773438</v>
      </c>
      <c r="C34" s="44">
        <v>16630.44921875</v>
      </c>
      <c r="D34" s="36">
        <f t="shared" si="1"/>
        <v>4.0181139092241303E-2</v>
      </c>
      <c r="E34" s="36">
        <f t="shared" si="2"/>
        <v>2.3705221410117439E-2</v>
      </c>
    </row>
    <row r="35" spans="1:5" x14ac:dyDescent="0.3">
      <c r="A35" s="57">
        <f t="shared" si="0"/>
        <v>44634</v>
      </c>
      <c r="B35" s="44">
        <v>92.799461364746094</v>
      </c>
      <c r="C35" s="44">
        <v>17287.05078125</v>
      </c>
      <c r="D35" s="36">
        <f t="shared" si="1"/>
        <v>1.7954238046450799E-2</v>
      </c>
      <c r="E35" s="36">
        <f t="shared" si="2"/>
        <v>3.9481889747134069E-2</v>
      </c>
    </row>
    <row r="36" spans="1:5" x14ac:dyDescent="0.3">
      <c r="A36" s="57">
        <f t="shared" si="0"/>
        <v>44641</v>
      </c>
      <c r="B36" s="44">
        <v>91.757888793945313</v>
      </c>
      <c r="C36" s="44">
        <v>17153</v>
      </c>
      <c r="D36" s="36">
        <f t="shared" si="1"/>
        <v>-1.1223907504235409E-2</v>
      </c>
      <c r="E36" s="36">
        <f t="shared" si="2"/>
        <v>-7.7544043195265644E-3</v>
      </c>
    </row>
    <row r="37" spans="1:5" x14ac:dyDescent="0.3">
      <c r="A37" s="57">
        <f t="shared" si="0"/>
        <v>44648</v>
      </c>
      <c r="B37" s="44">
        <v>91.212303161621094</v>
      </c>
      <c r="C37" s="44">
        <v>17670.44921875</v>
      </c>
      <c r="D37" s="36">
        <f t="shared" si="1"/>
        <v>-5.9459261704397637E-3</v>
      </c>
      <c r="E37" s="36">
        <f t="shared" si="2"/>
        <v>3.0166689136011282E-2</v>
      </c>
    </row>
    <row r="38" spans="1:5" x14ac:dyDescent="0.3">
      <c r="A38" s="57">
        <f t="shared" si="0"/>
        <v>44655</v>
      </c>
      <c r="B38" s="44">
        <v>92.402679443359375</v>
      </c>
      <c r="C38" s="44">
        <v>17784.349609375</v>
      </c>
      <c r="D38" s="36">
        <f t="shared" si="1"/>
        <v>1.3050610942572316E-2</v>
      </c>
      <c r="E38" s="36">
        <f t="shared" si="2"/>
        <v>6.4458118305301682E-3</v>
      </c>
    </row>
    <row r="39" spans="1:5" x14ac:dyDescent="0.3">
      <c r="A39" s="57">
        <f t="shared" si="0"/>
        <v>44662</v>
      </c>
      <c r="B39" s="44">
        <v>92.700263977050781</v>
      </c>
      <c r="C39" s="44">
        <v>17475.650390625</v>
      </c>
      <c r="D39" s="36">
        <f t="shared" si="1"/>
        <v>3.2205184469116244E-3</v>
      </c>
      <c r="E39" s="36">
        <f t="shared" si="2"/>
        <v>-1.7357914432095334E-2</v>
      </c>
    </row>
    <row r="40" spans="1:5" x14ac:dyDescent="0.3">
      <c r="A40" s="57">
        <f t="shared" si="0"/>
        <v>44669</v>
      </c>
      <c r="B40" s="44">
        <v>93.890640258789063</v>
      </c>
      <c r="C40" s="44">
        <v>17171.94921875</v>
      </c>
      <c r="D40" s="36">
        <f t="shared" si="1"/>
        <v>1.2841131520757942E-2</v>
      </c>
      <c r="E40" s="36">
        <f t="shared" si="2"/>
        <v>-1.7378533278390784E-2</v>
      </c>
    </row>
    <row r="41" spans="1:5" x14ac:dyDescent="0.3">
      <c r="A41" s="57">
        <f t="shared" si="0"/>
        <v>44676</v>
      </c>
      <c r="B41" s="44">
        <v>90.914710998535156</v>
      </c>
      <c r="C41" s="44">
        <v>17102.55078125</v>
      </c>
      <c r="D41" s="36">
        <f t="shared" si="1"/>
        <v>-3.1695696738795354E-2</v>
      </c>
      <c r="E41" s="36">
        <f t="shared" si="2"/>
        <v>-4.0413838065759267E-3</v>
      </c>
    </row>
    <row r="42" spans="1:5" x14ac:dyDescent="0.3">
      <c r="A42" s="57">
        <f t="shared" si="0"/>
        <v>44683</v>
      </c>
      <c r="B42" s="44">
        <v>88.434768676757813</v>
      </c>
      <c r="C42" s="44">
        <v>16411.25</v>
      </c>
      <c r="D42" s="36">
        <f t="shared" si="1"/>
        <v>-2.7277679206584082E-2</v>
      </c>
      <c r="E42" s="36">
        <f t="shared" si="2"/>
        <v>-4.0420916744646762E-2</v>
      </c>
    </row>
    <row r="43" spans="1:5" x14ac:dyDescent="0.3">
      <c r="A43" s="57">
        <f t="shared" si="0"/>
        <v>44690</v>
      </c>
      <c r="B43" s="44">
        <v>83.673271179199219</v>
      </c>
      <c r="C43" s="44">
        <v>15782.150390625</v>
      </c>
      <c r="D43" s="36">
        <f t="shared" si="1"/>
        <v>-5.3841917254994764E-2</v>
      </c>
      <c r="E43" s="36">
        <f t="shared" si="2"/>
        <v>-3.8333436476502447E-2</v>
      </c>
    </row>
    <row r="44" spans="1:5" x14ac:dyDescent="0.3">
      <c r="A44" s="57">
        <f t="shared" si="0"/>
        <v>44697</v>
      </c>
      <c r="B44" s="44">
        <v>89.426742553710938</v>
      </c>
      <c r="C44" s="44">
        <v>16266.150390625</v>
      </c>
      <c r="D44" s="36">
        <f t="shared" si="1"/>
        <v>6.8761162237696904E-2</v>
      </c>
      <c r="E44" s="36">
        <f t="shared" si="2"/>
        <v>3.0667557209916652E-2</v>
      </c>
    </row>
    <row r="45" spans="1:5" x14ac:dyDescent="0.3">
      <c r="A45" s="57">
        <f t="shared" si="0"/>
        <v>44704</v>
      </c>
      <c r="B45" s="44">
        <v>89.972328186035156</v>
      </c>
      <c r="C45" s="44">
        <v>16352.4501953125</v>
      </c>
      <c r="D45" s="36">
        <f t="shared" si="1"/>
        <v>6.1009225735415562E-3</v>
      </c>
      <c r="E45" s="36">
        <f t="shared" si="2"/>
        <v>5.3054842488877707E-3</v>
      </c>
    </row>
    <row r="46" spans="1:5" x14ac:dyDescent="0.3">
      <c r="A46" s="57">
        <f t="shared" si="0"/>
        <v>44711</v>
      </c>
      <c r="B46" s="44">
        <v>88.732353210449219</v>
      </c>
      <c r="C46" s="44">
        <v>16584.30078125</v>
      </c>
      <c r="D46" s="36">
        <f t="shared" si="1"/>
        <v>-1.3781737125019733E-2</v>
      </c>
      <c r="E46" s="36">
        <f t="shared" si="2"/>
        <v>1.4178339219401037E-2</v>
      </c>
    </row>
    <row r="47" spans="1:5" x14ac:dyDescent="0.3">
      <c r="A47" s="57">
        <f t="shared" si="0"/>
        <v>44718</v>
      </c>
      <c r="B47" s="44">
        <v>87.78997802734375</v>
      </c>
      <c r="C47" s="44">
        <v>16201.7998046875</v>
      </c>
      <c r="D47" s="36">
        <f t="shared" si="1"/>
        <v>-1.0620423656187872E-2</v>
      </c>
      <c r="E47" s="36">
        <f t="shared" si="2"/>
        <v>-2.306403999829465E-2</v>
      </c>
    </row>
    <row r="48" spans="1:5" x14ac:dyDescent="0.3">
      <c r="A48" s="57">
        <f t="shared" si="0"/>
        <v>44725</v>
      </c>
      <c r="B48" s="44">
        <v>84.367660522460938</v>
      </c>
      <c r="C48" s="44">
        <v>15293.5</v>
      </c>
      <c r="D48" s="36">
        <f t="shared" si="1"/>
        <v>-3.89830090151847E-2</v>
      </c>
      <c r="E48" s="36">
        <f t="shared" si="2"/>
        <v>-5.6061660780718392E-2</v>
      </c>
    </row>
    <row r="49" spans="1:5" x14ac:dyDescent="0.3">
      <c r="A49" s="57">
        <f t="shared" si="0"/>
        <v>44732</v>
      </c>
      <c r="B49" s="44">
        <v>84.913246154785156</v>
      </c>
      <c r="C49" s="44">
        <v>15699.25</v>
      </c>
      <c r="D49" s="36">
        <f t="shared" si="1"/>
        <v>6.4667626072074658E-3</v>
      </c>
      <c r="E49" s="36">
        <f t="shared" si="2"/>
        <v>2.6530879131657192E-2</v>
      </c>
    </row>
    <row r="50" spans="1:5" x14ac:dyDescent="0.3">
      <c r="A50" s="57">
        <f t="shared" si="0"/>
        <v>44739</v>
      </c>
      <c r="B50" s="44">
        <v>84.31805419921875</v>
      </c>
      <c r="C50" s="44">
        <v>15752.0498046875</v>
      </c>
      <c r="D50" s="36">
        <f t="shared" si="1"/>
        <v>-7.0094123416439835E-3</v>
      </c>
      <c r="E50" s="36">
        <f t="shared" si="2"/>
        <v>3.3632055472394562E-3</v>
      </c>
    </row>
    <row r="51" spans="1:5" x14ac:dyDescent="0.3">
      <c r="A51" s="57">
        <f t="shared" si="0"/>
        <v>44746</v>
      </c>
      <c r="B51" s="44">
        <v>85.508430480957031</v>
      </c>
      <c r="C51" s="44">
        <v>16220.599609375</v>
      </c>
      <c r="D51" s="36">
        <f t="shared" si="1"/>
        <v>1.4117691555426193E-2</v>
      </c>
      <c r="E51" s="36">
        <f t="shared" si="2"/>
        <v>2.974532270384711E-2</v>
      </c>
    </row>
    <row r="52" spans="1:5" x14ac:dyDescent="0.3">
      <c r="A52" s="57">
        <f t="shared" si="0"/>
        <v>44753</v>
      </c>
      <c r="B52" s="44">
        <v>83.970863342285156</v>
      </c>
      <c r="C52" s="44">
        <v>16049.2001953125</v>
      </c>
      <c r="D52" s="36">
        <f t="shared" si="1"/>
        <v>-1.7981468377136212E-2</v>
      </c>
      <c r="E52" s="36">
        <f t="shared" si="2"/>
        <v>-1.0566774237090293E-2</v>
      </c>
    </row>
    <row r="53" spans="1:5" x14ac:dyDescent="0.3">
      <c r="A53" s="57">
        <f t="shared" si="0"/>
        <v>44760</v>
      </c>
      <c r="B53" s="44">
        <v>89.327545166015625</v>
      </c>
      <c r="C53" s="44">
        <v>16719.44921875</v>
      </c>
      <c r="D53" s="36">
        <f t="shared" si="1"/>
        <v>6.3792148973095042E-2</v>
      </c>
      <c r="E53" s="36">
        <f t="shared" si="2"/>
        <v>4.1762144859608608E-2</v>
      </c>
    </row>
    <row r="54" spans="1:5" x14ac:dyDescent="0.3">
      <c r="A54" s="57">
        <f t="shared" si="0"/>
        <v>44767</v>
      </c>
      <c r="B54" s="44">
        <v>86.550010681152344</v>
      </c>
      <c r="C54" s="44">
        <v>17158.25</v>
      </c>
      <c r="D54" s="36">
        <f t="shared" si="1"/>
        <v>-3.1093818594266964E-2</v>
      </c>
      <c r="E54" s="36">
        <f t="shared" si="2"/>
        <v>2.6244930410620704E-2</v>
      </c>
    </row>
    <row r="55" spans="1:5" x14ac:dyDescent="0.3">
      <c r="A55" s="57">
        <f t="shared" si="0"/>
        <v>44774</v>
      </c>
      <c r="B55" s="44">
        <v>95.329002380371094</v>
      </c>
      <c r="C55" s="44">
        <v>17397.5</v>
      </c>
      <c r="D55" s="36">
        <f t="shared" si="1"/>
        <v>0.10143258943734046</v>
      </c>
      <c r="E55" s="36">
        <f t="shared" si="2"/>
        <v>1.3943729692713402E-2</v>
      </c>
    </row>
    <row r="56" spans="1:5" x14ac:dyDescent="0.3">
      <c r="A56" s="57">
        <f t="shared" si="0"/>
        <v>44781</v>
      </c>
      <c r="B56" s="44">
        <v>90.617111206054688</v>
      </c>
      <c r="C56" s="44">
        <v>17698.150390625</v>
      </c>
      <c r="D56" s="36">
        <f t="shared" si="1"/>
        <v>-4.9427677376875812E-2</v>
      </c>
      <c r="E56" s="36">
        <f t="shared" si="2"/>
        <v>1.7281241018824556E-2</v>
      </c>
    </row>
    <row r="57" spans="1:5" x14ac:dyDescent="0.3">
      <c r="A57" s="57">
        <f t="shared" si="0"/>
        <v>44788</v>
      </c>
      <c r="B57" s="44">
        <v>94.634620666503906</v>
      </c>
      <c r="C57" s="44">
        <v>17758.44921875</v>
      </c>
      <c r="D57" s="36">
        <f t="shared" si="1"/>
        <v>4.433499818057296E-2</v>
      </c>
      <c r="E57" s="36">
        <f t="shared" si="2"/>
        <v>3.4070694843311156E-3</v>
      </c>
    </row>
    <row r="58" spans="1:5" x14ac:dyDescent="0.3">
      <c r="A58" s="57">
        <f t="shared" si="0"/>
        <v>44795</v>
      </c>
      <c r="B58" s="44">
        <v>93.097053527832031</v>
      </c>
      <c r="C58" s="44">
        <v>17558.900390625</v>
      </c>
      <c r="D58" s="36">
        <f t="shared" si="1"/>
        <v>-1.6247406370342166E-2</v>
      </c>
      <c r="E58" s="36">
        <f t="shared" si="2"/>
        <v>-1.1236838626331735E-2</v>
      </c>
    </row>
    <row r="59" spans="1:5" x14ac:dyDescent="0.3">
      <c r="A59" s="57">
        <f t="shared" si="0"/>
        <v>44802</v>
      </c>
      <c r="B59" s="44">
        <v>92.749862670898438</v>
      </c>
      <c r="C59" s="44">
        <v>17539.44921875</v>
      </c>
      <c r="D59" s="36">
        <f t="shared" si="1"/>
        <v>-3.7293431293160539E-3</v>
      </c>
      <c r="E59" s="36">
        <f t="shared" si="2"/>
        <v>-1.1077670834892528E-3</v>
      </c>
    </row>
    <row r="60" spans="1:5" x14ac:dyDescent="0.3">
      <c r="A60" s="57">
        <f t="shared" si="0"/>
        <v>44809</v>
      </c>
      <c r="B60" s="44">
        <v>101.28086853027339</v>
      </c>
      <c r="C60" s="44">
        <v>17833.349609375</v>
      </c>
      <c r="D60" s="36">
        <f t="shared" si="1"/>
        <v>9.1978636018527293E-2</v>
      </c>
      <c r="E60" s="36">
        <f t="shared" si="2"/>
        <v>1.6756534766828146E-2</v>
      </c>
    </row>
    <row r="61" spans="1:5" x14ac:dyDescent="0.3">
      <c r="A61" s="57">
        <f t="shared" si="0"/>
        <v>44816</v>
      </c>
      <c r="B61" s="44">
        <v>102.6200332641602</v>
      </c>
      <c r="C61" s="44">
        <v>17530.849609375</v>
      </c>
      <c r="D61" s="36">
        <f t="shared" si="1"/>
        <v>1.3222287222848239E-2</v>
      </c>
      <c r="E61" s="36">
        <f t="shared" si="2"/>
        <v>-1.6962601341083738E-2</v>
      </c>
    </row>
    <row r="62" spans="1:5" x14ac:dyDescent="0.3">
      <c r="A62" s="57">
        <f t="shared" si="0"/>
        <v>44823</v>
      </c>
      <c r="B62" s="44">
        <v>101.13206481933589</v>
      </c>
      <c r="C62" s="44">
        <v>17327.349609375</v>
      </c>
      <c r="D62" s="36">
        <f t="shared" si="1"/>
        <v>-1.4499785251423924E-2</v>
      </c>
      <c r="E62" s="36">
        <f t="shared" si="2"/>
        <v>-1.1608108251135452E-2</v>
      </c>
    </row>
    <row r="63" spans="1:5" x14ac:dyDescent="0.3">
      <c r="A63" s="57">
        <f t="shared" si="0"/>
        <v>44830</v>
      </c>
      <c r="B63" s="44">
        <v>105.0503845214844</v>
      </c>
      <c r="C63" s="44">
        <v>17094.349609375</v>
      </c>
      <c r="D63" s="36">
        <f t="shared" si="1"/>
        <v>3.8744583225392093E-2</v>
      </c>
      <c r="E63" s="36">
        <f t="shared" si="2"/>
        <v>-1.3446949778974537E-2</v>
      </c>
    </row>
    <row r="64" spans="1:5" x14ac:dyDescent="0.3">
      <c r="A64" s="57">
        <f t="shared" si="0"/>
        <v>44837</v>
      </c>
      <c r="B64" s="44">
        <v>106.48874664306641</v>
      </c>
      <c r="C64" s="44">
        <v>17314.650390625</v>
      </c>
      <c r="D64" s="36">
        <f t="shared" si="1"/>
        <v>1.3692116674621335E-2</v>
      </c>
      <c r="E64" s="36">
        <f t="shared" si="2"/>
        <v>1.2887345016576734E-2</v>
      </c>
    </row>
    <row r="65" spans="1:5" x14ac:dyDescent="0.3">
      <c r="A65" s="57">
        <f t="shared" si="0"/>
        <v>44844</v>
      </c>
      <c r="B65" s="44">
        <v>108.6710968017578</v>
      </c>
      <c r="C65" s="44">
        <v>17185.69921875</v>
      </c>
      <c r="D65" s="36">
        <f t="shared" si="1"/>
        <v>2.0493716260989503E-2</v>
      </c>
      <c r="E65" s="36">
        <f t="shared" si="2"/>
        <v>-7.4475180824222775E-3</v>
      </c>
    </row>
    <row r="66" spans="1:5" x14ac:dyDescent="0.3">
      <c r="A66" s="57">
        <f t="shared" si="0"/>
        <v>44851</v>
      </c>
      <c r="B66" s="44">
        <v>101.8264541625977</v>
      </c>
      <c r="C66" s="44">
        <v>17576.30078125</v>
      </c>
      <c r="D66" s="36">
        <f t="shared" si="1"/>
        <v>-6.2984941172042896E-2</v>
      </c>
      <c r="E66" s="36">
        <f t="shared" si="2"/>
        <v>2.2728290395880091E-2</v>
      </c>
    </row>
    <row r="67" spans="1:5" x14ac:dyDescent="0.3">
      <c r="A67" s="57">
        <f t="shared" si="0"/>
        <v>44858</v>
      </c>
      <c r="B67" s="44">
        <v>102.9672317504883</v>
      </c>
      <c r="C67" s="44">
        <v>17786.80078125</v>
      </c>
      <c r="D67" s="36">
        <f t="shared" si="1"/>
        <v>1.120315538110539E-2</v>
      </c>
      <c r="E67" s="36">
        <f t="shared" si="2"/>
        <v>1.1976353990514221E-2</v>
      </c>
    </row>
    <row r="68" spans="1:5" x14ac:dyDescent="0.3">
      <c r="A68" s="57">
        <f t="shared" si="0"/>
        <v>44865</v>
      </c>
      <c r="B68" s="44">
        <v>104.1079940795898</v>
      </c>
      <c r="C68" s="44">
        <v>18117.150390625</v>
      </c>
      <c r="D68" s="36">
        <f t="shared" si="1"/>
        <v>1.1078887037245133E-2</v>
      </c>
      <c r="E68" s="36">
        <f t="shared" si="2"/>
        <v>1.8572739046093023E-2</v>
      </c>
    </row>
    <row r="69" spans="1:5" x14ac:dyDescent="0.3">
      <c r="A69" s="57">
        <f t="shared" si="0"/>
        <v>44872</v>
      </c>
      <c r="B69" s="44">
        <v>105.8439636230469</v>
      </c>
      <c r="C69" s="44">
        <v>18349.69921875</v>
      </c>
      <c r="D69" s="36">
        <f t="shared" si="1"/>
        <v>1.6674699755812927E-2</v>
      </c>
      <c r="E69" s="36">
        <f t="shared" si="2"/>
        <v>1.2835839141973171E-2</v>
      </c>
    </row>
    <row r="70" spans="1:5" x14ac:dyDescent="0.3">
      <c r="A70" s="57">
        <f t="shared" ref="A70:A133" si="3">A69+7</f>
        <v>44879</v>
      </c>
      <c r="B70" s="44">
        <v>102.8184280395508</v>
      </c>
      <c r="C70" s="44">
        <v>18307.650390625</v>
      </c>
      <c r="D70" s="36">
        <f t="shared" ref="D70:D133" si="4">B70/B69-1</f>
        <v>-2.8584866627550554E-2</v>
      </c>
      <c r="E70" s="36">
        <f t="shared" ref="E70:E133" si="5">C70/C69-1</f>
        <v>-2.2915268323326909E-3</v>
      </c>
    </row>
    <row r="71" spans="1:5" x14ac:dyDescent="0.3">
      <c r="A71" s="57">
        <f t="shared" si="3"/>
        <v>44886</v>
      </c>
      <c r="B71" s="44">
        <v>101.628059387207</v>
      </c>
      <c r="C71" s="44">
        <v>18512.75</v>
      </c>
      <c r="D71" s="36">
        <f t="shared" si="4"/>
        <v>-1.1577386223857622E-2</v>
      </c>
      <c r="E71" s="36">
        <f t="shared" si="5"/>
        <v>1.1202945489937166E-2</v>
      </c>
    </row>
    <row r="72" spans="1:5" x14ac:dyDescent="0.3">
      <c r="A72" s="57">
        <f t="shared" si="3"/>
        <v>44893</v>
      </c>
      <c r="B72" s="44">
        <v>105.69516754150391</v>
      </c>
      <c r="C72" s="44">
        <v>18696.099609375</v>
      </c>
      <c r="D72" s="36">
        <f t="shared" si="4"/>
        <v>4.0019539670643978E-2</v>
      </c>
      <c r="E72" s="36">
        <f t="shared" si="5"/>
        <v>9.9039639910332156E-3</v>
      </c>
    </row>
    <row r="73" spans="1:5" x14ac:dyDescent="0.3">
      <c r="A73" s="57">
        <f t="shared" si="3"/>
        <v>44900</v>
      </c>
      <c r="B73" s="44">
        <v>117.4996871948242</v>
      </c>
      <c r="C73" s="44">
        <v>18496.599609375</v>
      </c>
      <c r="D73" s="36">
        <f t="shared" si="4"/>
        <v>0.11168457298376433</v>
      </c>
      <c r="E73" s="36">
        <f t="shared" si="5"/>
        <v>-1.0670674855624007E-2</v>
      </c>
    </row>
    <row r="74" spans="1:5" x14ac:dyDescent="0.3">
      <c r="A74" s="57">
        <f t="shared" si="3"/>
        <v>44907</v>
      </c>
      <c r="B74" s="44">
        <v>114.424560546875</v>
      </c>
      <c r="C74" s="44">
        <v>18269</v>
      </c>
      <c r="D74" s="36">
        <f t="shared" si="4"/>
        <v>-2.6171360293499202E-2</v>
      </c>
      <c r="E74" s="36">
        <f t="shared" si="5"/>
        <v>-1.2304943296693405E-2</v>
      </c>
    </row>
    <row r="75" spans="1:5" x14ac:dyDescent="0.3">
      <c r="A75" s="57">
        <f t="shared" si="3"/>
        <v>44914</v>
      </c>
      <c r="B75" s="44">
        <v>101.925651550293</v>
      </c>
      <c r="C75" s="44">
        <v>17806.80078125</v>
      </c>
      <c r="D75" s="36">
        <f t="shared" si="4"/>
        <v>-0.1092327463338757</v>
      </c>
      <c r="E75" s="36">
        <f t="shared" si="5"/>
        <v>-2.5299645232360835E-2</v>
      </c>
    </row>
    <row r="76" spans="1:5" x14ac:dyDescent="0.3">
      <c r="A76" s="57">
        <f t="shared" si="3"/>
        <v>44921</v>
      </c>
      <c r="B76" s="44">
        <v>111.54782867431641</v>
      </c>
      <c r="C76" s="44">
        <v>18105.30078125</v>
      </c>
      <c r="D76" s="36">
        <f t="shared" si="4"/>
        <v>9.4403881433866133E-2</v>
      </c>
      <c r="E76" s="36">
        <f t="shared" si="5"/>
        <v>1.6763258244249624E-2</v>
      </c>
    </row>
    <row r="77" spans="1:5" x14ac:dyDescent="0.3">
      <c r="A77" s="57">
        <f t="shared" si="3"/>
        <v>44928</v>
      </c>
      <c r="B77" s="44">
        <v>114.1765670776367</v>
      </c>
      <c r="C77" s="44">
        <v>17859.44921875</v>
      </c>
      <c r="D77" s="36">
        <f t="shared" si="4"/>
        <v>2.3566020374949259E-2</v>
      </c>
      <c r="E77" s="36">
        <f t="shared" si="5"/>
        <v>-1.3578982501887271E-2</v>
      </c>
    </row>
    <row r="78" spans="1:5" x14ac:dyDescent="0.3">
      <c r="A78" s="57">
        <f t="shared" si="3"/>
        <v>44935</v>
      </c>
      <c r="B78" s="44">
        <v>114.8213577270508</v>
      </c>
      <c r="C78" s="44">
        <v>17956.599609375</v>
      </c>
      <c r="D78" s="36">
        <f t="shared" si="4"/>
        <v>5.6473115799291485E-3</v>
      </c>
      <c r="E78" s="36">
        <f t="shared" si="5"/>
        <v>5.4397193012540868E-3</v>
      </c>
    </row>
    <row r="79" spans="1:5" x14ac:dyDescent="0.3">
      <c r="A79" s="57">
        <f t="shared" si="3"/>
        <v>44942</v>
      </c>
      <c r="B79" s="44">
        <v>113.7301788330078</v>
      </c>
      <c r="C79" s="44">
        <v>18027.650390625</v>
      </c>
      <c r="D79" s="36">
        <f t="shared" si="4"/>
        <v>-9.5032746140915059E-3</v>
      </c>
      <c r="E79" s="36">
        <f t="shared" si="5"/>
        <v>3.9568060098029711E-3</v>
      </c>
    </row>
    <row r="80" spans="1:5" x14ac:dyDescent="0.3">
      <c r="A80" s="57">
        <f t="shared" si="3"/>
        <v>44949</v>
      </c>
      <c r="B80" s="44">
        <v>103.31443023681641</v>
      </c>
      <c r="C80" s="44">
        <v>17604.349609375</v>
      </c>
      <c r="D80" s="36">
        <f t="shared" si="4"/>
        <v>-9.1582979144744336E-2</v>
      </c>
      <c r="E80" s="36">
        <f t="shared" si="5"/>
        <v>-2.348064068682687E-2</v>
      </c>
    </row>
    <row r="81" spans="1:5" x14ac:dyDescent="0.3">
      <c r="A81" s="57">
        <f t="shared" si="3"/>
        <v>44956</v>
      </c>
      <c r="B81" s="44">
        <v>110.75424957275391</v>
      </c>
      <c r="C81" s="44">
        <v>17854.05078125</v>
      </c>
      <c r="D81" s="36">
        <f t="shared" si="4"/>
        <v>7.2011424917932665E-2</v>
      </c>
      <c r="E81" s="36">
        <f t="shared" si="5"/>
        <v>1.4184061178950103E-2</v>
      </c>
    </row>
    <row r="82" spans="1:5" x14ac:dyDescent="0.3">
      <c r="A82" s="57">
        <f t="shared" si="3"/>
        <v>44963</v>
      </c>
      <c r="B82" s="44">
        <v>111.9446182250977</v>
      </c>
      <c r="C82" s="44">
        <v>17856.5</v>
      </c>
      <c r="D82" s="36">
        <f t="shared" si="4"/>
        <v>1.074783727880213E-2</v>
      </c>
      <c r="E82" s="36">
        <f t="shared" si="5"/>
        <v>1.3718000357498816E-4</v>
      </c>
    </row>
    <row r="83" spans="1:5" x14ac:dyDescent="0.3">
      <c r="A83" s="57">
        <f t="shared" si="3"/>
        <v>44970</v>
      </c>
      <c r="B83" s="44">
        <v>112.688606262207</v>
      </c>
      <c r="C83" s="44">
        <v>17944.19921875</v>
      </c>
      <c r="D83" s="36">
        <f t="shared" si="4"/>
        <v>6.6460366644272018E-3</v>
      </c>
      <c r="E83" s="36">
        <f t="shared" si="5"/>
        <v>4.9113330579901859E-3</v>
      </c>
    </row>
    <row r="84" spans="1:5" x14ac:dyDescent="0.3">
      <c r="A84" s="57">
        <f t="shared" si="3"/>
        <v>44977</v>
      </c>
      <c r="B84" s="44">
        <v>112.39101409912109</v>
      </c>
      <c r="C84" s="44">
        <v>17465.80078125</v>
      </c>
      <c r="D84" s="36">
        <f t="shared" si="4"/>
        <v>-2.640836309515282E-3</v>
      </c>
      <c r="E84" s="36">
        <f t="shared" si="5"/>
        <v>-2.6660339180815562E-2</v>
      </c>
    </row>
    <row r="85" spans="1:5" x14ac:dyDescent="0.3">
      <c r="A85" s="57">
        <f t="shared" si="3"/>
        <v>44984</v>
      </c>
      <c r="B85" s="44">
        <v>112.83740234375</v>
      </c>
      <c r="C85" s="44">
        <v>17594.349609375</v>
      </c>
      <c r="D85" s="36">
        <f t="shared" si="4"/>
        <v>3.9717431878960596E-3</v>
      </c>
      <c r="E85" s="36">
        <f t="shared" si="5"/>
        <v>7.3600305955052736E-3</v>
      </c>
    </row>
    <row r="86" spans="1:5" x14ac:dyDescent="0.3">
      <c r="A86" s="57">
        <f t="shared" si="3"/>
        <v>44991</v>
      </c>
      <c r="B86" s="44">
        <v>110.3574600219727</v>
      </c>
      <c r="C86" s="44">
        <v>17412.900390625</v>
      </c>
      <c r="D86" s="36">
        <f t="shared" si="4"/>
        <v>-2.1978016776940335E-2</v>
      </c>
      <c r="E86" s="36">
        <f t="shared" si="5"/>
        <v>-1.0312925614102575E-2</v>
      </c>
    </row>
    <row r="87" spans="1:5" x14ac:dyDescent="0.3">
      <c r="A87" s="57">
        <f t="shared" si="3"/>
        <v>44998</v>
      </c>
      <c r="B87" s="44">
        <v>106.33995056152339</v>
      </c>
      <c r="C87" s="44">
        <v>17100.05078125</v>
      </c>
      <c r="D87" s="36">
        <f t="shared" si="4"/>
        <v>-3.6404511844051135E-2</v>
      </c>
      <c r="E87" s="36">
        <f t="shared" si="5"/>
        <v>-1.7966542181762968E-2</v>
      </c>
    </row>
    <row r="88" spans="1:5" x14ac:dyDescent="0.3">
      <c r="A88" s="57">
        <f t="shared" si="3"/>
        <v>45005</v>
      </c>
      <c r="B88" s="44">
        <v>114.02777099609381</v>
      </c>
      <c r="C88" s="44">
        <v>16945.05078125</v>
      </c>
      <c r="D88" s="36">
        <f t="shared" si="4"/>
        <v>7.2294752762016801E-2</v>
      </c>
      <c r="E88" s="36">
        <f t="shared" si="5"/>
        <v>-9.0643005674553301E-3</v>
      </c>
    </row>
    <row r="89" spans="1:5" x14ac:dyDescent="0.3">
      <c r="A89" s="57">
        <f t="shared" si="3"/>
        <v>45012</v>
      </c>
      <c r="B89" s="44">
        <v>110.9526443481445</v>
      </c>
      <c r="C89" s="44">
        <v>17359.75</v>
      </c>
      <c r="D89" s="36">
        <f t="shared" si="4"/>
        <v>-2.6968225556690428E-2</v>
      </c>
      <c r="E89" s="36">
        <f t="shared" si="5"/>
        <v>2.447317651056391E-2</v>
      </c>
    </row>
    <row r="90" spans="1:5" x14ac:dyDescent="0.3">
      <c r="A90" s="57">
        <f t="shared" si="3"/>
        <v>45019</v>
      </c>
      <c r="B90" s="44">
        <v>113.38299560546881</v>
      </c>
      <c r="C90" s="44">
        <v>17599.150390625</v>
      </c>
      <c r="D90" s="36">
        <f t="shared" si="4"/>
        <v>2.190440139216876E-2</v>
      </c>
      <c r="E90" s="36">
        <f t="shared" si="5"/>
        <v>1.3790543678624312E-2</v>
      </c>
    </row>
    <row r="91" spans="1:5" x14ac:dyDescent="0.3">
      <c r="A91" s="57">
        <f t="shared" si="3"/>
        <v>45026</v>
      </c>
      <c r="B91" s="44">
        <v>114.22617340087891</v>
      </c>
      <c r="C91" s="44">
        <v>17828</v>
      </c>
      <c r="D91" s="36">
        <f t="shared" si="4"/>
        <v>7.436545408837647E-3</v>
      </c>
      <c r="E91" s="36">
        <f t="shared" si="5"/>
        <v>1.3003446433238475E-2</v>
      </c>
    </row>
    <row r="92" spans="1:5" x14ac:dyDescent="0.3">
      <c r="A92" s="57">
        <f t="shared" si="3"/>
        <v>45033</v>
      </c>
      <c r="B92" s="44">
        <v>110.3574600219727</v>
      </c>
      <c r="C92" s="44">
        <v>17624.05078125</v>
      </c>
      <c r="D92" s="36">
        <f t="shared" si="4"/>
        <v>-3.3868887171146667E-2</v>
      </c>
      <c r="E92" s="36">
        <f t="shared" si="5"/>
        <v>-1.1439826046107271E-2</v>
      </c>
    </row>
    <row r="93" spans="1:5" x14ac:dyDescent="0.3">
      <c r="A93" s="57">
        <f t="shared" si="3"/>
        <v>45040</v>
      </c>
      <c r="B93" s="44">
        <v>115.5653381347656</v>
      </c>
      <c r="C93" s="44">
        <v>18065</v>
      </c>
      <c r="D93" s="36">
        <f t="shared" si="4"/>
        <v>4.719099290393225E-2</v>
      </c>
      <c r="E93" s="36">
        <f t="shared" si="5"/>
        <v>2.5019742862924632E-2</v>
      </c>
    </row>
    <row r="94" spans="1:5" x14ac:dyDescent="0.3">
      <c r="A94" s="57">
        <f t="shared" si="3"/>
        <v>45047</v>
      </c>
      <c r="B94" s="44">
        <v>126.1794891357422</v>
      </c>
      <c r="C94" s="44">
        <v>18069</v>
      </c>
      <c r="D94" s="36">
        <f t="shared" si="4"/>
        <v>9.1845454461431997E-2</v>
      </c>
      <c r="E94" s="36">
        <f t="shared" si="5"/>
        <v>2.2142264046509652E-4</v>
      </c>
    </row>
    <row r="95" spans="1:5" x14ac:dyDescent="0.3">
      <c r="A95" s="57">
        <f t="shared" si="3"/>
        <v>45054</v>
      </c>
      <c r="B95" s="44">
        <v>123.9475479125977</v>
      </c>
      <c r="C95" s="44">
        <v>18314.80078125</v>
      </c>
      <c r="D95" s="36">
        <f t="shared" si="4"/>
        <v>-1.7688621490164813E-2</v>
      </c>
      <c r="E95" s="36">
        <f t="shared" si="5"/>
        <v>1.3603452390835047E-2</v>
      </c>
    </row>
    <row r="96" spans="1:5" x14ac:dyDescent="0.3">
      <c r="A96" s="57">
        <f t="shared" si="3"/>
        <v>45061</v>
      </c>
      <c r="B96" s="44">
        <v>122.0131912231445</v>
      </c>
      <c r="C96" s="44">
        <v>18203.400390625</v>
      </c>
      <c r="D96" s="36">
        <f t="shared" si="4"/>
        <v>-1.5606252177067792E-2</v>
      </c>
      <c r="E96" s="36">
        <f t="shared" si="5"/>
        <v>-6.0825335724671303E-3</v>
      </c>
    </row>
    <row r="97" spans="1:5" x14ac:dyDescent="0.3">
      <c r="A97" s="57">
        <f t="shared" si="3"/>
        <v>45068</v>
      </c>
      <c r="B97" s="44">
        <v>130.84178161621091</v>
      </c>
      <c r="C97" s="44">
        <v>18499.349609375</v>
      </c>
      <c r="D97" s="36">
        <f t="shared" si="4"/>
        <v>7.2357671367845766E-2</v>
      </c>
      <c r="E97" s="36">
        <f t="shared" si="5"/>
        <v>1.6257908544516697E-2</v>
      </c>
    </row>
    <row r="98" spans="1:5" x14ac:dyDescent="0.3">
      <c r="A98" s="57">
        <f t="shared" si="3"/>
        <v>45075</v>
      </c>
      <c r="B98" s="44">
        <v>140.26556396484381</v>
      </c>
      <c r="C98" s="44">
        <v>18534.099609375</v>
      </c>
      <c r="D98" s="36">
        <f t="shared" si="4"/>
        <v>7.2024258858496948E-2</v>
      </c>
      <c r="E98" s="36">
        <f t="shared" si="5"/>
        <v>1.8784444174400061E-3</v>
      </c>
    </row>
    <row r="99" spans="1:5" x14ac:dyDescent="0.3">
      <c r="A99" s="57">
        <f t="shared" si="3"/>
        <v>45082</v>
      </c>
      <c r="B99" s="44">
        <v>140.51356506347659</v>
      </c>
      <c r="C99" s="44">
        <v>18563.400390625</v>
      </c>
      <c r="D99" s="36">
        <f t="shared" si="4"/>
        <v>1.7680825686834378E-3</v>
      </c>
      <c r="E99" s="36">
        <f t="shared" si="5"/>
        <v>1.5809120414556066E-3</v>
      </c>
    </row>
    <row r="100" spans="1:5" x14ac:dyDescent="0.3">
      <c r="A100" s="57">
        <f t="shared" si="3"/>
        <v>45089</v>
      </c>
      <c r="B100" s="44">
        <v>146.21742248535159</v>
      </c>
      <c r="C100" s="44">
        <v>18826</v>
      </c>
      <c r="D100" s="36">
        <f t="shared" si="4"/>
        <v>4.0592930791403026E-2</v>
      </c>
      <c r="E100" s="36">
        <f t="shared" si="5"/>
        <v>1.4146094134112497E-2</v>
      </c>
    </row>
    <row r="101" spans="1:5" x14ac:dyDescent="0.3">
      <c r="A101" s="57">
        <f t="shared" si="3"/>
        <v>45096</v>
      </c>
      <c r="B101" s="44">
        <v>141.5551452636719</v>
      </c>
      <c r="C101" s="44">
        <v>18665.5</v>
      </c>
      <c r="D101" s="36">
        <f t="shared" si="4"/>
        <v>-3.188592127006451E-2</v>
      </c>
      <c r="E101" s="36">
        <f t="shared" si="5"/>
        <v>-8.5254435355359703E-3</v>
      </c>
    </row>
    <row r="102" spans="1:5" x14ac:dyDescent="0.3">
      <c r="A102" s="57">
        <f t="shared" si="3"/>
        <v>45103</v>
      </c>
      <c r="B102" s="44">
        <v>139.76957702636719</v>
      </c>
      <c r="C102" s="44">
        <v>19189.05078125</v>
      </c>
      <c r="D102" s="36">
        <f t="shared" si="4"/>
        <v>-1.2613940906060161E-2</v>
      </c>
      <c r="E102" s="36">
        <f t="shared" si="5"/>
        <v>2.8049116351021919E-2</v>
      </c>
    </row>
    <row r="103" spans="1:5" x14ac:dyDescent="0.3">
      <c r="A103" s="57">
        <f t="shared" si="3"/>
        <v>45110</v>
      </c>
      <c r="B103" s="44">
        <v>147.606201171875</v>
      </c>
      <c r="C103" s="44">
        <v>19331.80078125</v>
      </c>
      <c r="D103" s="36">
        <f t="shared" si="4"/>
        <v>5.6068168139547625E-2</v>
      </c>
      <c r="E103" s="36">
        <f t="shared" si="5"/>
        <v>7.4391381641183418E-3</v>
      </c>
    </row>
    <row r="104" spans="1:5" x14ac:dyDescent="0.3">
      <c r="A104" s="57">
        <f t="shared" si="3"/>
        <v>45117</v>
      </c>
      <c r="B104" s="44">
        <v>141.90232849121091</v>
      </c>
      <c r="C104" s="44">
        <v>19564.5</v>
      </c>
      <c r="D104" s="36">
        <f t="shared" si="4"/>
        <v>-3.8642500351475095E-2</v>
      </c>
      <c r="E104" s="36">
        <f t="shared" si="5"/>
        <v>1.2037120668846102E-2</v>
      </c>
    </row>
    <row r="105" spans="1:5" x14ac:dyDescent="0.3">
      <c r="A105" s="57">
        <f t="shared" si="3"/>
        <v>45124</v>
      </c>
      <c r="B105" s="44">
        <v>141.85273742675781</v>
      </c>
      <c r="C105" s="44">
        <v>19745</v>
      </c>
      <c r="D105" s="36">
        <f t="shared" si="4"/>
        <v>-3.4947322556566629E-4</v>
      </c>
      <c r="E105" s="36">
        <f t="shared" si="5"/>
        <v>9.225893838329613E-3</v>
      </c>
    </row>
    <row r="106" spans="1:5" x14ac:dyDescent="0.3">
      <c r="A106" s="57">
        <f t="shared" si="3"/>
        <v>45131</v>
      </c>
      <c r="B106" s="44">
        <v>140.9599609375</v>
      </c>
      <c r="C106" s="44">
        <v>19646.05078125</v>
      </c>
      <c r="D106" s="36">
        <f t="shared" si="4"/>
        <v>-6.2936853066989373E-3</v>
      </c>
      <c r="E106" s="36">
        <f t="shared" si="5"/>
        <v>-5.0113557229678474E-3</v>
      </c>
    </row>
    <row r="107" spans="1:5" x14ac:dyDescent="0.3">
      <c r="A107" s="57">
        <f t="shared" si="3"/>
        <v>45138</v>
      </c>
      <c r="B107" s="44">
        <v>165.4617919921875</v>
      </c>
      <c r="C107" s="44">
        <v>19517</v>
      </c>
      <c r="D107" s="36">
        <f t="shared" si="4"/>
        <v>0.17382121058866717</v>
      </c>
      <c r="E107" s="36">
        <f t="shared" si="5"/>
        <v>-6.5687899663359195E-3</v>
      </c>
    </row>
    <row r="108" spans="1:5" x14ac:dyDescent="0.3">
      <c r="A108" s="57">
        <f t="shared" si="3"/>
        <v>45145</v>
      </c>
      <c r="B108" s="44">
        <v>158.17076110839841</v>
      </c>
      <c r="C108" s="44">
        <v>19428.30078125</v>
      </c>
      <c r="D108" s="36">
        <f t="shared" si="4"/>
        <v>-4.4064740240051026E-2</v>
      </c>
      <c r="E108" s="36">
        <f t="shared" si="5"/>
        <v>-4.5447158246656461E-3</v>
      </c>
    </row>
    <row r="109" spans="1:5" x14ac:dyDescent="0.3">
      <c r="A109" s="57">
        <f t="shared" si="3"/>
        <v>45152</v>
      </c>
      <c r="B109" s="44">
        <v>155.39320373535159</v>
      </c>
      <c r="C109" s="44">
        <v>19310.150390625</v>
      </c>
      <c r="D109" s="36">
        <f t="shared" si="4"/>
        <v>-1.756049824621686E-2</v>
      </c>
      <c r="E109" s="36">
        <f t="shared" si="5"/>
        <v>-6.0813548212629298E-3</v>
      </c>
    </row>
    <row r="110" spans="1:5" x14ac:dyDescent="0.3">
      <c r="A110" s="57">
        <f t="shared" si="3"/>
        <v>45159</v>
      </c>
      <c r="B110" s="44">
        <v>156.33561706542969</v>
      </c>
      <c r="C110" s="44">
        <v>19265.80078125</v>
      </c>
      <c r="D110" s="36">
        <f t="shared" si="4"/>
        <v>6.064701077166168E-3</v>
      </c>
      <c r="E110" s="36">
        <f t="shared" si="5"/>
        <v>-2.2966993253730195E-3</v>
      </c>
    </row>
    <row r="111" spans="1:5" x14ac:dyDescent="0.3">
      <c r="A111" s="57">
        <f t="shared" si="3"/>
        <v>45166</v>
      </c>
      <c r="B111" s="44">
        <v>159.85711669921881</v>
      </c>
      <c r="C111" s="44">
        <v>19435.30078125</v>
      </c>
      <c r="D111" s="36">
        <f t="shared" si="4"/>
        <v>2.2525254960392704E-2</v>
      </c>
      <c r="E111" s="36">
        <f t="shared" si="5"/>
        <v>8.797973254502045E-3</v>
      </c>
    </row>
    <row r="112" spans="1:5" x14ac:dyDescent="0.3">
      <c r="A112" s="57">
        <f t="shared" si="3"/>
        <v>45173</v>
      </c>
      <c r="B112" s="44">
        <v>159.21234130859381</v>
      </c>
      <c r="C112" s="44">
        <v>19819.94921875</v>
      </c>
      <c r="D112" s="36">
        <f t="shared" si="4"/>
        <v>-4.0334481438082381E-3</v>
      </c>
      <c r="E112" s="36">
        <f t="shared" si="5"/>
        <v>1.9791226378708116E-2</v>
      </c>
    </row>
    <row r="113" spans="1:5" x14ac:dyDescent="0.3">
      <c r="A113" s="57">
        <f t="shared" si="3"/>
        <v>45180</v>
      </c>
      <c r="B113" s="44">
        <v>161.7914733886719</v>
      </c>
      <c r="C113" s="44">
        <v>20192.349609375</v>
      </c>
      <c r="D113" s="36">
        <f t="shared" si="4"/>
        <v>1.6199322608283717E-2</v>
      </c>
      <c r="E113" s="36">
        <f t="shared" si="5"/>
        <v>1.8789169766020519E-2</v>
      </c>
    </row>
    <row r="114" spans="1:5" x14ac:dyDescent="0.3">
      <c r="A114" s="57">
        <f t="shared" si="3"/>
        <v>45187</v>
      </c>
      <c r="B114" s="44">
        <v>152.2189025878906</v>
      </c>
      <c r="C114" s="44">
        <v>19674.25</v>
      </c>
      <c r="D114" s="36">
        <f t="shared" si="4"/>
        <v>-5.9166101898244672E-2</v>
      </c>
      <c r="E114" s="36">
        <f t="shared" si="5"/>
        <v>-2.5658213105346328E-2</v>
      </c>
    </row>
    <row r="115" spans="1:5" x14ac:dyDescent="0.3">
      <c r="A115" s="57">
        <f t="shared" si="3"/>
        <v>45194</v>
      </c>
      <c r="B115" s="44">
        <v>151.722900390625</v>
      </c>
      <c r="C115" s="44">
        <v>19638.30078125</v>
      </c>
      <c r="D115" s="36">
        <f t="shared" si="4"/>
        <v>-3.258479655502744E-3</v>
      </c>
      <c r="E115" s="36">
        <f t="shared" si="5"/>
        <v>-1.8272218127756146E-3</v>
      </c>
    </row>
    <row r="116" spans="1:5" x14ac:dyDescent="0.3">
      <c r="A116" s="57">
        <f t="shared" si="3"/>
        <v>45201</v>
      </c>
      <c r="B116" s="44">
        <v>157.2283935546875</v>
      </c>
      <c r="C116" s="44">
        <v>19653.5</v>
      </c>
      <c r="D116" s="36">
        <f t="shared" si="4"/>
        <v>3.6286500916394848E-2</v>
      </c>
      <c r="E116" s="36">
        <f t="shared" si="5"/>
        <v>7.7395793654977396E-4</v>
      </c>
    </row>
    <row r="117" spans="1:5" x14ac:dyDescent="0.3">
      <c r="A117" s="57">
        <f t="shared" si="3"/>
        <v>45208</v>
      </c>
      <c r="B117" s="44">
        <v>161.69227600097659</v>
      </c>
      <c r="C117" s="44">
        <v>19751.05078125</v>
      </c>
      <c r="D117" s="36">
        <f t="shared" si="4"/>
        <v>2.839107075616365E-2</v>
      </c>
      <c r="E117" s="36">
        <f t="shared" si="5"/>
        <v>4.9635322588852393E-3</v>
      </c>
    </row>
    <row r="118" spans="1:5" x14ac:dyDescent="0.3">
      <c r="A118" s="57">
        <f t="shared" si="3"/>
        <v>45215</v>
      </c>
      <c r="B118" s="44">
        <v>167.24736022949219</v>
      </c>
      <c r="C118" s="44">
        <v>19542.650390625</v>
      </c>
      <c r="D118" s="36">
        <f t="shared" si="4"/>
        <v>3.4355903484728278E-2</v>
      </c>
      <c r="E118" s="36">
        <f t="shared" si="5"/>
        <v>-1.0551357137051021E-2</v>
      </c>
    </row>
    <row r="119" spans="1:5" x14ac:dyDescent="0.3">
      <c r="A119" s="57">
        <f t="shared" si="3"/>
        <v>45222</v>
      </c>
      <c r="B119" s="44">
        <v>154.64924621582031</v>
      </c>
      <c r="C119" s="44">
        <v>19047.25</v>
      </c>
      <c r="D119" s="36">
        <f t="shared" si="4"/>
        <v>-7.5326235322250135E-2</v>
      </c>
      <c r="E119" s="36">
        <f t="shared" si="5"/>
        <v>-2.5349703378138133E-2</v>
      </c>
    </row>
    <row r="120" spans="1:5" x14ac:dyDescent="0.3">
      <c r="A120" s="57">
        <f t="shared" si="3"/>
        <v>45229</v>
      </c>
      <c r="B120" s="44">
        <v>155.59162902832031</v>
      </c>
      <c r="C120" s="44">
        <v>19230.599609375</v>
      </c>
      <c r="D120" s="36">
        <f t="shared" si="4"/>
        <v>6.0936786667866727E-3</v>
      </c>
      <c r="E120" s="36">
        <f t="shared" si="5"/>
        <v>9.6260409967319216E-3</v>
      </c>
    </row>
    <row r="121" spans="1:5" x14ac:dyDescent="0.3">
      <c r="A121" s="57">
        <f t="shared" si="3"/>
        <v>45236</v>
      </c>
      <c r="B121" s="44">
        <v>157.62516784667969</v>
      </c>
      <c r="C121" s="44">
        <v>19425.349609375</v>
      </c>
      <c r="D121" s="36">
        <f t="shared" si="4"/>
        <v>1.3069718667122032E-2</v>
      </c>
      <c r="E121" s="36">
        <f t="shared" si="5"/>
        <v>1.0127089324092564E-2</v>
      </c>
    </row>
    <row r="122" spans="1:5" x14ac:dyDescent="0.3">
      <c r="A122" s="57">
        <f t="shared" si="3"/>
        <v>45243</v>
      </c>
      <c r="B122" s="44">
        <v>163.5770263671875</v>
      </c>
      <c r="C122" s="44">
        <v>19731.80078125</v>
      </c>
      <c r="D122" s="36">
        <f t="shared" si="4"/>
        <v>3.7759569755364986E-2</v>
      </c>
      <c r="E122" s="36">
        <f t="shared" si="5"/>
        <v>1.5775838172153334E-2</v>
      </c>
    </row>
    <row r="123" spans="1:5" x14ac:dyDescent="0.3">
      <c r="A123" s="57">
        <f t="shared" si="3"/>
        <v>45250</v>
      </c>
      <c r="B123" s="44">
        <v>165.56098937988281</v>
      </c>
      <c r="C123" s="44">
        <v>19794.69921875</v>
      </c>
      <c r="D123" s="36">
        <f t="shared" si="4"/>
        <v>1.2128616449120555E-2</v>
      </c>
      <c r="E123" s="36">
        <f t="shared" si="5"/>
        <v>3.1876683835045938E-3</v>
      </c>
    </row>
    <row r="124" spans="1:5" x14ac:dyDescent="0.3">
      <c r="A124" s="57">
        <f t="shared" si="3"/>
        <v>45257</v>
      </c>
      <c r="B124" s="44">
        <v>162.63465881347659</v>
      </c>
      <c r="C124" s="44">
        <v>20267.900390625</v>
      </c>
      <c r="D124" s="36">
        <f t="shared" si="4"/>
        <v>-1.7675242080679388E-2</v>
      </c>
      <c r="E124" s="36">
        <f t="shared" si="5"/>
        <v>2.3905448961142772E-2</v>
      </c>
    </row>
    <row r="125" spans="1:5" x14ac:dyDescent="0.3">
      <c r="A125" s="57">
        <f t="shared" si="3"/>
        <v>45264</v>
      </c>
      <c r="B125" s="44">
        <v>163.1306457519531</v>
      </c>
      <c r="C125" s="44">
        <v>20969.400390625</v>
      </c>
      <c r="D125" s="36">
        <f t="shared" si="4"/>
        <v>3.0497001198579454E-3</v>
      </c>
      <c r="E125" s="36">
        <f t="shared" si="5"/>
        <v>3.4611379890365113E-2</v>
      </c>
    </row>
    <row r="126" spans="1:5" x14ac:dyDescent="0.3">
      <c r="A126" s="57">
        <f t="shared" si="3"/>
        <v>45271</v>
      </c>
      <c r="B126" s="44">
        <v>176.81993103027341</v>
      </c>
      <c r="C126" s="44">
        <v>21456.650390625</v>
      </c>
      <c r="D126" s="36">
        <f t="shared" si="4"/>
        <v>8.3916085878403379E-2</v>
      </c>
      <c r="E126" s="36">
        <f t="shared" si="5"/>
        <v>2.3236239039903017E-2</v>
      </c>
    </row>
    <row r="127" spans="1:5" x14ac:dyDescent="0.3">
      <c r="A127" s="57">
        <f t="shared" si="3"/>
        <v>45278</v>
      </c>
      <c r="B127" s="44">
        <v>172.901611328125</v>
      </c>
      <c r="C127" s="44">
        <v>21349.400390625</v>
      </c>
      <c r="D127" s="36">
        <f t="shared" si="4"/>
        <v>-2.2159943617880651E-2</v>
      </c>
      <c r="E127" s="36">
        <f t="shared" si="5"/>
        <v>-4.9984502728748215E-3</v>
      </c>
    </row>
    <row r="128" spans="1:5" x14ac:dyDescent="0.3">
      <c r="A128" s="57">
        <f t="shared" si="3"/>
        <v>45285</v>
      </c>
      <c r="B128" s="44">
        <v>174.9847717285156</v>
      </c>
      <c r="C128" s="44">
        <v>21731.400390625</v>
      </c>
      <c r="D128" s="36">
        <f t="shared" si="4"/>
        <v>1.2048241681433813E-2</v>
      </c>
      <c r="E128" s="36">
        <f t="shared" si="5"/>
        <v>1.7892774176821558E-2</v>
      </c>
    </row>
    <row r="129" spans="1:5" x14ac:dyDescent="0.3">
      <c r="A129" s="57">
        <f t="shared" si="3"/>
        <v>45292</v>
      </c>
      <c r="B129" s="44">
        <v>178.60548400878909</v>
      </c>
      <c r="C129" s="44">
        <v>21710.80078125</v>
      </c>
      <c r="D129" s="36">
        <f t="shared" si="4"/>
        <v>2.0691585013414393E-2</v>
      </c>
      <c r="E129" s="36">
        <f t="shared" si="5"/>
        <v>-9.4791909424696286E-4</v>
      </c>
    </row>
    <row r="130" spans="1:5" x14ac:dyDescent="0.3">
      <c r="A130" s="57">
        <f t="shared" si="3"/>
        <v>45299</v>
      </c>
      <c r="B130" s="44">
        <v>176.7207336425781</v>
      </c>
      <c r="C130" s="44">
        <v>21894.55078125</v>
      </c>
      <c r="D130" s="36">
        <f t="shared" si="4"/>
        <v>-1.055258956168581E-2</v>
      </c>
      <c r="E130" s="36">
        <f t="shared" si="5"/>
        <v>8.4635293673134271E-3</v>
      </c>
    </row>
    <row r="131" spans="1:5" x14ac:dyDescent="0.3">
      <c r="A131" s="57">
        <f t="shared" si="3"/>
        <v>45306</v>
      </c>
      <c r="B131" s="44">
        <v>173.6455993652344</v>
      </c>
      <c r="C131" s="44">
        <v>21622.400390625</v>
      </c>
      <c r="D131" s="36">
        <f t="shared" si="4"/>
        <v>-1.7401095015615042E-2</v>
      </c>
      <c r="E131" s="36">
        <f t="shared" si="5"/>
        <v>-1.2430051355886373E-2</v>
      </c>
    </row>
    <row r="132" spans="1:5" x14ac:dyDescent="0.3">
      <c r="A132" s="57">
        <f t="shared" si="3"/>
        <v>45313</v>
      </c>
      <c r="B132" s="44">
        <v>180.68864440917969</v>
      </c>
      <c r="C132" s="44">
        <v>21352.599609375</v>
      </c>
      <c r="D132" s="36">
        <f t="shared" si="4"/>
        <v>4.0559882137475967E-2</v>
      </c>
      <c r="E132" s="36">
        <f t="shared" si="5"/>
        <v>-1.247783670526148E-2</v>
      </c>
    </row>
    <row r="133" spans="1:5" x14ac:dyDescent="0.3">
      <c r="A133" s="57">
        <f t="shared" si="3"/>
        <v>45320</v>
      </c>
      <c r="B133" s="44">
        <v>185.4997253417969</v>
      </c>
      <c r="C133" s="44">
        <v>21853.80078125</v>
      </c>
      <c r="D133" s="36">
        <f t="shared" si="4"/>
        <v>2.6626360213994671E-2</v>
      </c>
      <c r="E133" s="36">
        <f t="shared" si="5"/>
        <v>2.3472606663543782E-2</v>
      </c>
    </row>
    <row r="134" spans="1:5" x14ac:dyDescent="0.3">
      <c r="A134" s="57">
        <f t="shared" ref="A134:A197" si="6">A133+7</f>
        <v>45327</v>
      </c>
      <c r="B134" s="44">
        <v>193.6339416503906</v>
      </c>
      <c r="C134" s="44">
        <v>21782.5</v>
      </c>
      <c r="D134" s="36">
        <f t="shared" ref="D134:D197" si="7">B134/B133-1</f>
        <v>4.3850287614204175E-2</v>
      </c>
      <c r="E134" s="36">
        <f t="shared" ref="E134:E197" si="8">C134/C133-1</f>
        <v>-3.2626261199916184E-3</v>
      </c>
    </row>
    <row r="135" spans="1:5" x14ac:dyDescent="0.3">
      <c r="A135" s="57">
        <f t="shared" si="6"/>
        <v>45334</v>
      </c>
      <c r="B135" s="44">
        <v>211.43992614746091</v>
      </c>
      <c r="C135" s="44">
        <v>22040.69921875</v>
      </c>
      <c r="D135" s="36">
        <f t="shared" si="7"/>
        <v>9.1956938671523325E-2</v>
      </c>
      <c r="E135" s="36">
        <f t="shared" si="8"/>
        <v>1.1853516297486433E-2</v>
      </c>
    </row>
    <row r="136" spans="1:5" x14ac:dyDescent="0.3">
      <c r="A136" s="57">
        <f t="shared" si="6"/>
        <v>45341</v>
      </c>
      <c r="B136" s="44">
        <v>213.42388916015619</v>
      </c>
      <c r="C136" s="44">
        <v>22212.69921875</v>
      </c>
      <c r="D136" s="36">
        <f t="shared" si="7"/>
        <v>9.3831049265107325E-3</v>
      </c>
      <c r="E136" s="36">
        <f t="shared" si="8"/>
        <v>7.8037451667449798E-3</v>
      </c>
    </row>
    <row r="137" spans="1:5" x14ac:dyDescent="0.3">
      <c r="A137" s="57">
        <f t="shared" si="6"/>
        <v>45348</v>
      </c>
      <c r="B137" s="44">
        <v>207.72001647949219</v>
      </c>
      <c r="C137" s="44">
        <v>22338.75</v>
      </c>
      <c r="D137" s="36">
        <f t="shared" si="7"/>
        <v>-2.6725558713737718E-2</v>
      </c>
      <c r="E137" s="36">
        <f t="shared" si="8"/>
        <v>5.6747169719741919E-3</v>
      </c>
    </row>
    <row r="138" spans="1:5" x14ac:dyDescent="0.3">
      <c r="A138" s="57">
        <f t="shared" si="6"/>
        <v>45355</v>
      </c>
      <c r="B138" s="44">
        <v>205.63685607910159</v>
      </c>
      <c r="C138" s="44">
        <v>22493.55078125</v>
      </c>
      <c r="D138" s="36">
        <f t="shared" si="7"/>
        <v>-1.0028693602555427E-2</v>
      </c>
      <c r="E138" s="36">
        <f t="shared" si="8"/>
        <v>6.9296975546975226E-3</v>
      </c>
    </row>
    <row r="139" spans="1:5" x14ac:dyDescent="0.3">
      <c r="A139" s="57">
        <f t="shared" si="6"/>
        <v>45362</v>
      </c>
      <c r="B139" s="44">
        <v>201.66896057128909</v>
      </c>
      <c r="C139" s="44">
        <v>22023.349609375</v>
      </c>
      <c r="D139" s="36">
        <f t="shared" si="7"/>
        <v>-1.9295643706428667E-2</v>
      </c>
      <c r="E139" s="36">
        <f t="shared" si="8"/>
        <v>-2.0903821564132397E-2</v>
      </c>
    </row>
    <row r="140" spans="1:5" x14ac:dyDescent="0.3">
      <c r="A140" s="57">
        <f t="shared" si="6"/>
        <v>45369</v>
      </c>
      <c r="B140" s="44">
        <v>230.43629455566409</v>
      </c>
      <c r="C140" s="44">
        <v>22096.75</v>
      </c>
      <c r="D140" s="36">
        <f t="shared" si="7"/>
        <v>0.14264631454876708</v>
      </c>
      <c r="E140" s="36">
        <f t="shared" si="8"/>
        <v>3.332844091697762E-3</v>
      </c>
    </row>
    <row r="141" spans="1:5" x14ac:dyDescent="0.3">
      <c r="A141" s="57">
        <f t="shared" si="6"/>
        <v>45376</v>
      </c>
      <c r="B141" s="44">
        <v>225.7243957519531</v>
      </c>
      <c r="C141" s="44">
        <v>22326.900390625</v>
      </c>
      <c r="D141" s="36">
        <f t="shared" si="7"/>
        <v>-2.044772856982735E-2</v>
      </c>
      <c r="E141" s="36">
        <f t="shared" si="8"/>
        <v>1.0415576527091019E-2</v>
      </c>
    </row>
    <row r="142" spans="1:5" x14ac:dyDescent="0.3">
      <c r="A142" s="57">
        <f t="shared" si="6"/>
        <v>45383</v>
      </c>
      <c r="B142" s="44">
        <v>225.8731994628906</v>
      </c>
      <c r="C142" s="44">
        <v>22513.69921875</v>
      </c>
      <c r="D142" s="36">
        <f t="shared" si="7"/>
        <v>6.5922741953428066E-4</v>
      </c>
      <c r="E142" s="36">
        <f t="shared" si="8"/>
        <v>8.3665365481468967E-3</v>
      </c>
    </row>
    <row r="143" spans="1:5" x14ac:dyDescent="0.3">
      <c r="A143" s="57">
        <f t="shared" si="6"/>
        <v>45390</v>
      </c>
      <c r="B143" s="44">
        <v>224.83161926269531</v>
      </c>
      <c r="C143" s="44">
        <v>22519.400390625</v>
      </c>
      <c r="D143" s="36">
        <f t="shared" si="7"/>
        <v>-4.6113492112923593E-3</v>
      </c>
      <c r="E143" s="36">
        <f t="shared" si="8"/>
        <v>2.5323123577369877E-4</v>
      </c>
    </row>
    <row r="144" spans="1:5" x14ac:dyDescent="0.3">
      <c r="A144" s="57">
        <f t="shared" si="6"/>
        <v>45397</v>
      </c>
      <c r="B144" s="44">
        <v>225.0796203613281</v>
      </c>
      <c r="C144" s="44">
        <v>22147</v>
      </c>
      <c r="D144" s="36">
        <f t="shared" si="7"/>
        <v>1.1030525841786432E-3</v>
      </c>
      <c r="E144" s="36">
        <f t="shared" si="8"/>
        <v>-1.6536869728557835E-2</v>
      </c>
    </row>
    <row r="145" spans="1:5" x14ac:dyDescent="0.3">
      <c r="A145" s="57">
        <f t="shared" si="6"/>
        <v>45404</v>
      </c>
      <c r="B145" s="44">
        <v>225.52601623535159</v>
      </c>
      <c r="C145" s="44">
        <v>22419.94921875</v>
      </c>
      <c r="D145" s="36">
        <f t="shared" si="7"/>
        <v>1.9832798425147846E-3</v>
      </c>
      <c r="E145" s="36">
        <f t="shared" si="8"/>
        <v>1.2324433049623051E-2</v>
      </c>
    </row>
    <row r="146" spans="1:5" x14ac:dyDescent="0.3">
      <c r="A146" s="57">
        <f t="shared" si="6"/>
        <v>45411</v>
      </c>
      <c r="B146" s="44">
        <v>234.50340270996091</v>
      </c>
      <c r="C146" s="44">
        <v>22475.849609375</v>
      </c>
      <c r="D146" s="36">
        <f t="shared" si="7"/>
        <v>3.980643397363437E-2</v>
      </c>
      <c r="E146" s="36">
        <f t="shared" si="8"/>
        <v>2.4933326155016644E-3</v>
      </c>
    </row>
    <row r="147" spans="1:5" x14ac:dyDescent="0.3">
      <c r="A147" s="57">
        <f t="shared" si="6"/>
        <v>45418</v>
      </c>
      <c r="B147" s="44">
        <v>217.24299621582031</v>
      </c>
      <c r="C147" s="44">
        <v>22055.19921875</v>
      </c>
      <c r="D147" s="36">
        <f t="shared" si="7"/>
        <v>-7.3604076933112328E-2</v>
      </c>
      <c r="E147" s="36">
        <f t="shared" si="8"/>
        <v>-1.8715661384811066E-2</v>
      </c>
    </row>
    <row r="148" spans="1:5" x14ac:dyDescent="0.3">
      <c r="A148" s="57">
        <f t="shared" si="6"/>
        <v>45425</v>
      </c>
      <c r="B148" s="44">
        <v>223.7404479980469</v>
      </c>
      <c r="C148" s="44">
        <v>22466.099609375</v>
      </c>
      <c r="D148" s="36">
        <f t="shared" si="7"/>
        <v>2.9908682422017829E-2</v>
      </c>
      <c r="E148" s="36">
        <f t="shared" si="8"/>
        <v>1.8630545412424926E-2</v>
      </c>
    </row>
    <row r="149" spans="1:5" x14ac:dyDescent="0.3">
      <c r="A149" s="57">
        <f t="shared" si="6"/>
        <v>45432</v>
      </c>
      <c r="B149" s="44">
        <v>214.76304626464841</v>
      </c>
      <c r="C149" s="44">
        <v>22957.099609375</v>
      </c>
      <c r="D149" s="36">
        <f t="shared" si="7"/>
        <v>-4.0124178769307073E-2</v>
      </c>
      <c r="E149" s="36">
        <f t="shared" si="8"/>
        <v>2.1855151029202657E-2</v>
      </c>
    </row>
    <row r="150" spans="1:5" x14ac:dyDescent="0.3">
      <c r="A150" s="57">
        <f t="shared" si="6"/>
        <v>45439</v>
      </c>
      <c r="B150" s="44">
        <v>210.89436340332031</v>
      </c>
      <c r="C150" s="44">
        <v>22530.69921875</v>
      </c>
      <c r="D150" s="36">
        <f t="shared" si="7"/>
        <v>-1.8013726889312243E-2</v>
      </c>
      <c r="E150" s="36">
        <f t="shared" si="8"/>
        <v>-1.8573791893592317E-2</v>
      </c>
    </row>
    <row r="151" spans="1:5" x14ac:dyDescent="0.3">
      <c r="A151" s="57">
        <f t="shared" si="6"/>
        <v>45446</v>
      </c>
      <c r="B151" s="44">
        <v>217.2926025390625</v>
      </c>
      <c r="C151" s="44">
        <v>23290.150390625</v>
      </c>
      <c r="D151" s="36">
        <f t="shared" si="7"/>
        <v>3.0338597165378012E-2</v>
      </c>
      <c r="E151" s="36">
        <f t="shared" si="8"/>
        <v>3.3707394719600492E-2</v>
      </c>
    </row>
    <row r="152" spans="1:5" x14ac:dyDescent="0.3">
      <c r="A152" s="57">
        <f t="shared" si="6"/>
        <v>45453</v>
      </c>
      <c r="B152" s="44">
        <v>221.29026794433591</v>
      </c>
      <c r="C152" s="44">
        <v>23465.599609375</v>
      </c>
      <c r="D152" s="36">
        <f t="shared" si="7"/>
        <v>1.8397613901995458E-2</v>
      </c>
      <c r="E152" s="36">
        <f t="shared" si="8"/>
        <v>7.5331938955887079E-3</v>
      </c>
    </row>
    <row r="153" spans="1:5" x14ac:dyDescent="0.3">
      <c r="A153" s="57">
        <f t="shared" si="6"/>
        <v>45460</v>
      </c>
      <c r="B153" s="44">
        <v>214.048828125</v>
      </c>
      <c r="C153" s="44">
        <v>23501.099609375</v>
      </c>
      <c r="D153" s="36">
        <f t="shared" si="7"/>
        <v>-3.2723715717843715E-2</v>
      </c>
      <c r="E153" s="36">
        <f t="shared" si="8"/>
        <v>1.5128528821319875E-3</v>
      </c>
    </row>
    <row r="154" spans="1:5" x14ac:dyDescent="0.3">
      <c r="A154" s="57">
        <f t="shared" si="6"/>
        <v>45467</v>
      </c>
      <c r="B154" s="44">
        <v>209.41630554199219</v>
      </c>
      <c r="C154" s="44">
        <v>24010.599609375</v>
      </c>
      <c r="D154" s="36">
        <f t="shared" si="7"/>
        <v>-2.164236367742467E-2</v>
      </c>
      <c r="E154" s="36">
        <f t="shared" si="8"/>
        <v>2.1679836623336168E-2</v>
      </c>
    </row>
    <row r="155" spans="1:5" x14ac:dyDescent="0.3">
      <c r="A155" s="57">
        <f t="shared" si="6"/>
        <v>45474</v>
      </c>
      <c r="B155" s="44">
        <v>208.7516784667969</v>
      </c>
      <c r="C155" s="44">
        <v>24323.849609375</v>
      </c>
      <c r="D155" s="36">
        <f t="shared" si="7"/>
        <v>-3.1737121590181827E-3</v>
      </c>
      <c r="E155" s="36">
        <f t="shared" si="8"/>
        <v>1.3046321420381757E-2</v>
      </c>
    </row>
    <row r="156" spans="1:5" x14ac:dyDescent="0.3">
      <c r="A156" s="57">
        <f t="shared" si="6"/>
        <v>45481</v>
      </c>
      <c r="B156" s="44">
        <v>203.2759704589844</v>
      </c>
      <c r="C156" s="44">
        <v>24502.150390625</v>
      </c>
      <c r="D156" s="36">
        <f t="shared" si="7"/>
        <v>-2.623072565466078E-2</v>
      </c>
      <c r="E156" s="36">
        <f t="shared" si="8"/>
        <v>7.3302862874664587E-3</v>
      </c>
    </row>
    <row r="157" spans="1:5" x14ac:dyDescent="0.3">
      <c r="A157" s="57">
        <f t="shared" si="6"/>
        <v>45488</v>
      </c>
      <c r="B157" s="44">
        <v>204.08940124511719</v>
      </c>
      <c r="C157" s="44">
        <v>24530.900390625</v>
      </c>
      <c r="D157" s="36">
        <f t="shared" si="7"/>
        <v>4.0016081797376035E-3</v>
      </c>
      <c r="E157" s="36">
        <f t="shared" si="8"/>
        <v>1.1733664001589705E-3</v>
      </c>
    </row>
    <row r="158" spans="1:5" x14ac:dyDescent="0.3">
      <c r="A158" s="57">
        <f t="shared" si="6"/>
        <v>45495</v>
      </c>
      <c r="B158" s="44">
        <v>208.0176086425781</v>
      </c>
      <c r="C158" s="44">
        <v>24834.849609375</v>
      </c>
      <c r="D158" s="36">
        <f t="shared" si="7"/>
        <v>1.9247483570903334E-2</v>
      </c>
      <c r="E158" s="36">
        <f t="shared" si="8"/>
        <v>1.2390463208034497E-2</v>
      </c>
    </row>
    <row r="159" spans="1:5" x14ac:dyDescent="0.3">
      <c r="A159" s="57">
        <f t="shared" si="6"/>
        <v>45502</v>
      </c>
      <c r="B159" s="44">
        <v>205.21031188964841</v>
      </c>
      <c r="C159" s="44">
        <v>24717.69921875</v>
      </c>
      <c r="D159" s="36">
        <f t="shared" si="7"/>
        <v>-1.3495476518784799E-2</v>
      </c>
      <c r="E159" s="36">
        <f t="shared" si="8"/>
        <v>-4.7171773724281607E-3</v>
      </c>
    </row>
    <row r="160" spans="1:5" x14ac:dyDescent="0.3">
      <c r="A160" s="57">
        <f t="shared" si="6"/>
        <v>45509</v>
      </c>
      <c r="B160" s="44">
        <v>197.32408142089841</v>
      </c>
      <c r="C160" s="44">
        <v>24367.5</v>
      </c>
      <c r="D160" s="36">
        <f t="shared" si="7"/>
        <v>-3.8429991144844688E-2</v>
      </c>
      <c r="E160" s="36">
        <f t="shared" si="8"/>
        <v>-1.4167953726225035E-2</v>
      </c>
    </row>
    <row r="161" spans="1:5" x14ac:dyDescent="0.3">
      <c r="A161" s="57">
        <f t="shared" si="6"/>
        <v>45516</v>
      </c>
      <c r="B161" s="44">
        <v>210.28924560546881</v>
      </c>
      <c r="C161" s="44">
        <v>24541.150390625</v>
      </c>
      <c r="D161" s="36">
        <f t="shared" si="7"/>
        <v>6.5704926085100146E-2</v>
      </c>
      <c r="E161" s="36">
        <f t="shared" si="8"/>
        <v>7.126311300913013E-3</v>
      </c>
    </row>
    <row r="162" spans="1:5" x14ac:dyDescent="0.3">
      <c r="A162" s="57">
        <f t="shared" si="6"/>
        <v>45523</v>
      </c>
      <c r="B162" s="44">
        <v>220.86372375488281</v>
      </c>
      <c r="C162" s="44">
        <v>24823.150390625</v>
      </c>
      <c r="D162" s="36">
        <f t="shared" si="7"/>
        <v>5.028539675896293E-2</v>
      </c>
      <c r="E162" s="36">
        <f t="shared" si="8"/>
        <v>1.1490903870086111E-2</v>
      </c>
    </row>
    <row r="163" spans="1:5" x14ac:dyDescent="0.3">
      <c r="A163" s="57">
        <f t="shared" si="6"/>
        <v>45530</v>
      </c>
      <c r="B163" s="44">
        <v>226.40887451171881</v>
      </c>
      <c r="C163" s="44">
        <v>25235.900390625</v>
      </c>
      <c r="D163" s="36">
        <f t="shared" si="7"/>
        <v>2.5106661531207664E-2</v>
      </c>
      <c r="E163" s="36">
        <f t="shared" si="8"/>
        <v>1.6627623549180237E-2</v>
      </c>
    </row>
    <row r="164" spans="1:5" x14ac:dyDescent="0.3">
      <c r="A164" s="57">
        <f t="shared" si="6"/>
        <v>45537</v>
      </c>
      <c r="B164" s="44">
        <v>218.086181640625</v>
      </c>
      <c r="C164" s="44">
        <v>24852.150390625</v>
      </c>
      <c r="D164" s="36">
        <f t="shared" si="7"/>
        <v>-3.6759569999377462E-2</v>
      </c>
      <c r="E164" s="36">
        <f t="shared" si="8"/>
        <v>-1.5206511123437516E-2</v>
      </c>
    </row>
    <row r="165" spans="1:5" x14ac:dyDescent="0.3">
      <c r="A165" s="57">
        <f t="shared" si="6"/>
        <v>45544</v>
      </c>
      <c r="B165" s="44">
        <v>206.38084411621091</v>
      </c>
      <c r="C165" s="44">
        <v>25356.5</v>
      </c>
      <c r="D165" s="36">
        <f t="shared" si="7"/>
        <v>-5.3672990358017425E-2</v>
      </c>
      <c r="E165" s="36">
        <f t="shared" si="8"/>
        <v>2.0294002790408605E-2</v>
      </c>
    </row>
    <row r="166" spans="1:5" x14ac:dyDescent="0.3">
      <c r="A166" s="57">
        <f t="shared" si="6"/>
        <v>45551</v>
      </c>
      <c r="B166" s="44">
        <v>211.31097412109381</v>
      </c>
      <c r="C166" s="44">
        <v>25790.94921875</v>
      </c>
      <c r="D166" s="36">
        <f t="shared" si="7"/>
        <v>2.3888505863978393E-2</v>
      </c>
      <c r="E166" s="36">
        <f t="shared" si="8"/>
        <v>1.7133643000808441E-2</v>
      </c>
    </row>
    <row r="167" spans="1:5" x14ac:dyDescent="0.3">
      <c r="A167" s="57">
        <f t="shared" si="6"/>
        <v>45558</v>
      </c>
      <c r="B167" s="44">
        <v>202.32366943359381</v>
      </c>
      <c r="C167" s="44">
        <v>26178.94921875</v>
      </c>
      <c r="D167" s="36">
        <f t="shared" si="7"/>
        <v>-4.2531178159964989E-2</v>
      </c>
      <c r="E167" s="36">
        <f t="shared" si="8"/>
        <v>1.5044037220542705E-2</v>
      </c>
    </row>
    <row r="168" spans="1:5" x14ac:dyDescent="0.3">
      <c r="A168" s="57">
        <f t="shared" si="6"/>
        <v>45565</v>
      </c>
      <c r="B168" s="44">
        <v>206.68836975097659</v>
      </c>
      <c r="C168" s="44">
        <v>25014.599609375</v>
      </c>
      <c r="D168" s="36">
        <f t="shared" si="7"/>
        <v>2.1572860603021882E-2</v>
      </c>
      <c r="E168" s="36">
        <f t="shared" si="8"/>
        <v>-4.4476560141728849E-2</v>
      </c>
    </row>
    <row r="169" spans="1:5" x14ac:dyDescent="0.3">
      <c r="A169" s="57">
        <f t="shared" si="6"/>
        <v>45572</v>
      </c>
      <c r="B169" s="44">
        <v>206.837158203125</v>
      </c>
      <c r="C169" s="44">
        <v>24964.25</v>
      </c>
      <c r="D169" s="36">
        <f t="shared" si="7"/>
        <v>7.1986852636007903E-4</v>
      </c>
      <c r="E169" s="36">
        <f t="shared" si="8"/>
        <v>-2.0128089260372795E-3</v>
      </c>
    </row>
    <row r="170" spans="1:5" x14ac:dyDescent="0.3">
      <c r="A170" s="57">
        <f t="shared" si="6"/>
        <v>45579</v>
      </c>
      <c r="B170" s="44">
        <v>205.41862487792969</v>
      </c>
      <c r="C170" s="44">
        <v>24854.05078125</v>
      </c>
      <c r="D170" s="36">
        <f t="shared" si="7"/>
        <v>-6.8582131833500037E-3</v>
      </c>
      <c r="E170" s="36">
        <f t="shared" si="8"/>
        <v>-4.4142811720760955E-3</v>
      </c>
    </row>
    <row r="171" spans="1:5" x14ac:dyDescent="0.3">
      <c r="A171" s="57">
        <f t="shared" si="6"/>
        <v>45586</v>
      </c>
      <c r="B171" s="44">
        <v>193.58433532714841</v>
      </c>
      <c r="C171" s="44">
        <v>24180.80078125</v>
      </c>
      <c r="D171" s="36">
        <f t="shared" si="7"/>
        <v>-5.761059669157953E-2</v>
      </c>
      <c r="E171" s="36">
        <f t="shared" si="8"/>
        <v>-2.7088139713140946E-2</v>
      </c>
    </row>
    <row r="172" spans="1:5" x14ac:dyDescent="0.3">
      <c r="A172" s="57">
        <f t="shared" si="6"/>
        <v>45593</v>
      </c>
      <c r="B172" s="44">
        <v>210.1305236816406</v>
      </c>
      <c r="C172" s="44">
        <v>24304.349609375</v>
      </c>
      <c r="D172" s="36">
        <f t="shared" si="7"/>
        <v>8.5472764759245257E-2</v>
      </c>
      <c r="E172" s="36">
        <f t="shared" si="8"/>
        <v>5.1093770319137199E-3</v>
      </c>
    </row>
    <row r="173" spans="1:5" x14ac:dyDescent="0.3">
      <c r="A173" s="57">
        <f t="shared" si="6"/>
        <v>45600</v>
      </c>
      <c r="B173" s="44">
        <v>199.86354064941409</v>
      </c>
      <c r="C173" s="44">
        <v>24148.19921875</v>
      </c>
      <c r="D173" s="36">
        <f t="shared" si="7"/>
        <v>-4.8860026864928741E-2</v>
      </c>
      <c r="E173" s="36">
        <f t="shared" si="8"/>
        <v>-6.424791987223899E-3</v>
      </c>
    </row>
    <row r="174" spans="1:5" x14ac:dyDescent="0.3">
      <c r="A174" s="57">
        <f t="shared" si="6"/>
        <v>45607</v>
      </c>
      <c r="B174" s="44">
        <v>181.07550048828119</v>
      </c>
      <c r="C174" s="44">
        <v>23532.69921875</v>
      </c>
      <c r="D174" s="36">
        <f t="shared" si="7"/>
        <v>-9.4004339661376779E-2</v>
      </c>
      <c r="E174" s="36">
        <f t="shared" si="8"/>
        <v>-2.5488443027341434E-2</v>
      </c>
    </row>
    <row r="175" spans="1:5" x14ac:dyDescent="0.3">
      <c r="A175" s="57">
        <f t="shared" si="6"/>
        <v>45614</v>
      </c>
      <c r="B175" s="44">
        <v>178.46661376953119</v>
      </c>
      <c r="C175" s="44">
        <v>23907.25</v>
      </c>
      <c r="D175" s="36">
        <f t="shared" si="7"/>
        <v>-1.4407728884995308E-2</v>
      </c>
      <c r="E175" s="36">
        <f t="shared" si="8"/>
        <v>1.5916184444815906E-2</v>
      </c>
    </row>
    <row r="176" spans="1:5" x14ac:dyDescent="0.3">
      <c r="A176" s="57">
        <f t="shared" si="6"/>
        <v>45621</v>
      </c>
      <c r="B176" s="44">
        <v>181.4226989746094</v>
      </c>
      <c r="C176" s="44">
        <v>24131.099609375</v>
      </c>
      <c r="D176" s="36">
        <f t="shared" si="7"/>
        <v>1.6563799484062836E-2</v>
      </c>
      <c r="E176" s="36">
        <f t="shared" si="8"/>
        <v>9.3632521254012335E-3</v>
      </c>
    </row>
    <row r="177" spans="1:5" x14ac:dyDescent="0.3">
      <c r="A177" s="57">
        <f t="shared" si="6"/>
        <v>45628</v>
      </c>
      <c r="B177" s="44">
        <v>200.66705322265619</v>
      </c>
      <c r="C177" s="44">
        <v>24677.80078125</v>
      </c>
      <c r="D177" s="36">
        <f t="shared" si="7"/>
        <v>0.10607467729680331</v>
      </c>
      <c r="E177" s="36">
        <f t="shared" si="8"/>
        <v>2.2655460411037609E-2</v>
      </c>
    </row>
    <row r="178" spans="1:5" x14ac:dyDescent="0.3">
      <c r="A178" s="57">
        <f t="shared" si="6"/>
        <v>45635</v>
      </c>
      <c r="B178" s="44">
        <v>228.11506652832031</v>
      </c>
      <c r="C178" s="44">
        <v>24768.30078125</v>
      </c>
      <c r="D178" s="36">
        <f t="shared" si="7"/>
        <v>0.13678385596866449</v>
      </c>
      <c r="E178" s="36">
        <f t="shared" si="8"/>
        <v>3.667263578396307E-3</v>
      </c>
    </row>
    <row r="179" spans="1:5" x14ac:dyDescent="0.3">
      <c r="A179" s="57">
        <f t="shared" si="6"/>
        <v>45642</v>
      </c>
      <c r="B179" s="44">
        <v>211.14234924316409</v>
      </c>
      <c r="C179" s="44">
        <v>23587.5</v>
      </c>
      <c r="D179" s="36">
        <f t="shared" si="7"/>
        <v>-7.4404192337944819E-2</v>
      </c>
      <c r="E179" s="36">
        <f t="shared" si="8"/>
        <v>-4.7673871198458895E-2</v>
      </c>
    </row>
    <row r="180" spans="1:5" x14ac:dyDescent="0.3">
      <c r="A180" s="57">
        <f t="shared" si="6"/>
        <v>45649</v>
      </c>
      <c r="B180" s="44">
        <v>230.3172607421875</v>
      </c>
      <c r="C180" s="44">
        <v>23813.400390625</v>
      </c>
      <c r="D180" s="36">
        <f t="shared" si="7"/>
        <v>9.0815090235357943E-2</v>
      </c>
      <c r="E180" s="36">
        <f t="shared" si="8"/>
        <v>9.5771230789614137E-3</v>
      </c>
    </row>
    <row r="181" spans="1:5" x14ac:dyDescent="0.3">
      <c r="A181" s="57">
        <f t="shared" si="6"/>
        <v>45656</v>
      </c>
      <c r="B181" s="44">
        <v>226.14103698730469</v>
      </c>
      <c r="C181" s="44">
        <v>24004.75</v>
      </c>
      <c r="D181" s="36">
        <f t="shared" si="7"/>
        <v>-1.8132482738918987E-2</v>
      </c>
      <c r="E181" s="36">
        <f t="shared" si="8"/>
        <v>8.0353753028203911E-3</v>
      </c>
    </row>
    <row r="182" spans="1:5" x14ac:dyDescent="0.3">
      <c r="A182" s="57">
        <f t="shared" si="6"/>
        <v>45663</v>
      </c>
      <c r="B182" s="44">
        <v>213.53300476074219</v>
      </c>
      <c r="C182" s="44">
        <v>23431.5</v>
      </c>
      <c r="D182" s="36">
        <f t="shared" si="7"/>
        <v>-5.5752960163839238E-2</v>
      </c>
      <c r="E182" s="36">
        <f t="shared" si="8"/>
        <v>-2.3880690280048689E-2</v>
      </c>
    </row>
    <row r="183" spans="1:5" x14ac:dyDescent="0.3">
      <c r="A183" s="57">
        <f t="shared" si="6"/>
        <v>45670</v>
      </c>
      <c r="B183" s="44">
        <v>205.29960632324219</v>
      </c>
      <c r="C183" s="44">
        <v>23203.19921875</v>
      </c>
      <c r="D183" s="36">
        <f t="shared" si="7"/>
        <v>-3.8557966468580784E-2</v>
      </c>
      <c r="E183" s="36">
        <f t="shared" si="8"/>
        <v>-9.7433276252053558E-3</v>
      </c>
    </row>
    <row r="184" spans="1:5" x14ac:dyDescent="0.3">
      <c r="A184" s="57">
        <f t="shared" si="6"/>
        <v>45677</v>
      </c>
      <c r="B184" s="44">
        <v>218.16552734375</v>
      </c>
      <c r="C184" s="44">
        <v>23092.19921875</v>
      </c>
      <c r="D184" s="36">
        <f t="shared" si="7"/>
        <v>6.2668999960236338E-2</v>
      </c>
      <c r="E184" s="36">
        <f t="shared" si="8"/>
        <v>-4.7838230820473893E-3</v>
      </c>
    </row>
    <row r="185" spans="1:5" x14ac:dyDescent="0.3">
      <c r="A185" s="57">
        <f t="shared" si="6"/>
        <v>45684</v>
      </c>
      <c r="B185" s="44">
        <v>206.06341552734381</v>
      </c>
      <c r="C185" s="44">
        <v>23482.150390625</v>
      </c>
      <c r="D185" s="36">
        <f t="shared" si="7"/>
        <v>-5.5472154394665796E-2</v>
      </c>
      <c r="E185" s="36">
        <f t="shared" si="8"/>
        <v>1.688670568710382E-2</v>
      </c>
    </row>
    <row r="186" spans="1:5" x14ac:dyDescent="0.3">
      <c r="A186" s="57">
        <f t="shared" si="6"/>
        <v>45691</v>
      </c>
      <c r="B186" s="44">
        <v>210.8844299316406</v>
      </c>
      <c r="C186" s="44">
        <v>23559.94921875</v>
      </c>
      <c r="D186" s="36">
        <f t="shared" si="7"/>
        <v>2.3395780332764016E-2</v>
      </c>
      <c r="E186" s="36">
        <f t="shared" si="8"/>
        <v>3.313104925691146E-3</v>
      </c>
    </row>
    <row r="187" spans="1:5" x14ac:dyDescent="0.3">
      <c r="A187" s="57">
        <f t="shared" si="6"/>
        <v>45698</v>
      </c>
      <c r="B187" s="44">
        <v>201.71856689453119</v>
      </c>
      <c r="C187" s="44">
        <v>22929.25</v>
      </c>
      <c r="D187" s="36">
        <f t="shared" si="7"/>
        <v>-4.3463915472946812E-2</v>
      </c>
      <c r="E187" s="36">
        <f t="shared" si="8"/>
        <v>-2.6769973606227571E-2</v>
      </c>
    </row>
    <row r="188" spans="1:5" x14ac:dyDescent="0.3">
      <c r="A188" s="57">
        <f t="shared" si="6"/>
        <v>45705</v>
      </c>
      <c r="B188" s="44">
        <v>205.21031188964841</v>
      </c>
      <c r="C188" s="44">
        <v>22795.900390625</v>
      </c>
      <c r="D188" s="36">
        <f t="shared" si="7"/>
        <v>1.7309983155605391E-2</v>
      </c>
      <c r="E188" s="36">
        <f t="shared" si="8"/>
        <v>-5.8156986981693359E-3</v>
      </c>
    </row>
    <row r="189" spans="1:5" x14ac:dyDescent="0.3">
      <c r="A189" s="57">
        <f t="shared" si="6"/>
        <v>45712</v>
      </c>
      <c r="B189" s="44">
        <v>200.3397216796875</v>
      </c>
      <c r="C189" s="44">
        <v>22124.69921875</v>
      </c>
      <c r="D189" s="36">
        <f t="shared" si="7"/>
        <v>-2.3734627003442532E-2</v>
      </c>
      <c r="E189" s="36">
        <f t="shared" si="8"/>
        <v>-2.9443942128780209E-2</v>
      </c>
    </row>
    <row r="190" spans="1:5" x14ac:dyDescent="0.3">
      <c r="A190" s="57">
        <f t="shared" si="6"/>
        <v>45719</v>
      </c>
      <c r="B190" s="44">
        <v>212.93782043457031</v>
      </c>
      <c r="C190" s="44">
        <v>22552.5</v>
      </c>
      <c r="D190" s="36">
        <f t="shared" si="7"/>
        <v>6.2883679029090533E-2</v>
      </c>
      <c r="E190" s="36">
        <f t="shared" si="8"/>
        <v>1.9335891395416249E-2</v>
      </c>
    </row>
    <row r="191" spans="1:5" x14ac:dyDescent="0.3">
      <c r="A191" s="57">
        <f t="shared" si="6"/>
        <v>45726</v>
      </c>
      <c r="B191" s="44">
        <v>203.20652770996091</v>
      </c>
      <c r="C191" s="44">
        <v>22397.19921875</v>
      </c>
      <c r="D191" s="36">
        <f t="shared" si="7"/>
        <v>-4.570016122429299E-2</v>
      </c>
      <c r="E191" s="36">
        <f t="shared" si="8"/>
        <v>-6.8861891697150623E-3</v>
      </c>
    </row>
    <row r="192" spans="1:5" x14ac:dyDescent="0.3">
      <c r="A192" s="57">
        <f t="shared" si="6"/>
        <v>45733</v>
      </c>
      <c r="B192" s="44">
        <v>213.21556091308591</v>
      </c>
      <c r="C192" s="44">
        <v>23350.400390625</v>
      </c>
      <c r="D192" s="36">
        <f t="shared" si="7"/>
        <v>4.9255470854809413E-2</v>
      </c>
      <c r="E192" s="36">
        <f t="shared" si="8"/>
        <v>4.2558945096895062E-2</v>
      </c>
    </row>
    <row r="193" spans="1:5" x14ac:dyDescent="0.3">
      <c r="A193" s="57">
        <f t="shared" si="6"/>
        <v>45740</v>
      </c>
      <c r="B193" s="44">
        <v>213.294921875</v>
      </c>
      <c r="C193" s="44">
        <v>23519.349609375</v>
      </c>
      <c r="D193" s="36">
        <f t="shared" si="7"/>
        <v>3.7220999055720405E-4</v>
      </c>
      <c r="E193" s="36">
        <f t="shared" si="8"/>
        <v>7.2353885125597817E-3</v>
      </c>
    </row>
    <row r="194" spans="1:5" x14ac:dyDescent="0.3">
      <c r="A194" s="57">
        <f t="shared" si="6"/>
        <v>45747</v>
      </c>
      <c r="B194" s="44">
        <v>217.3818664550781</v>
      </c>
      <c r="C194" s="44">
        <v>22904.44921875</v>
      </c>
      <c r="D194" s="36">
        <f t="shared" si="7"/>
        <v>1.9161002728762755E-2</v>
      </c>
      <c r="E194" s="36">
        <f t="shared" si="8"/>
        <v>-2.6144447054772924E-2</v>
      </c>
    </row>
    <row r="195" spans="1:5" x14ac:dyDescent="0.3">
      <c r="A195" s="57">
        <f t="shared" si="6"/>
        <v>45754</v>
      </c>
      <c r="B195" s="44">
        <v>218.79048156738281</v>
      </c>
      <c r="C195" s="44">
        <v>22828.55078125</v>
      </c>
      <c r="D195" s="36">
        <f t="shared" si="7"/>
        <v>6.4799108374378189E-3</v>
      </c>
      <c r="E195" s="36">
        <f t="shared" si="8"/>
        <v>-3.3136984336592512E-3</v>
      </c>
    </row>
    <row r="196" spans="1:5" x14ac:dyDescent="0.3">
      <c r="A196" s="57">
        <f t="shared" si="6"/>
        <v>45761</v>
      </c>
      <c r="B196" s="44">
        <v>221.07203674316409</v>
      </c>
      <c r="C196" s="44">
        <v>23851.650390625</v>
      </c>
      <c r="D196" s="36">
        <f t="shared" si="7"/>
        <v>1.0428036720046219E-2</v>
      </c>
      <c r="E196" s="36">
        <f t="shared" si="8"/>
        <v>4.4816669230502093E-2</v>
      </c>
    </row>
    <row r="197" spans="1:5" x14ac:dyDescent="0.3">
      <c r="A197" s="57">
        <f t="shared" si="6"/>
        <v>45768</v>
      </c>
      <c r="B197" s="44">
        <v>217.064453125</v>
      </c>
      <c r="C197" s="44">
        <v>24039.349609375</v>
      </c>
      <c r="D197" s="36">
        <f t="shared" si="7"/>
        <v>-1.8127953572074751E-2</v>
      </c>
      <c r="E197" s="36">
        <f t="shared" si="8"/>
        <v>7.8694436517390276E-3</v>
      </c>
    </row>
    <row r="198" spans="1:5" x14ac:dyDescent="0.3">
      <c r="A198" s="57">
        <f t="shared" ref="A198:A261" si="9">A197+7</f>
        <v>45775</v>
      </c>
      <c r="B198" s="44">
        <v>217.44139099121091</v>
      </c>
      <c r="C198" s="44">
        <v>24346.69921875</v>
      </c>
      <c r="D198" s="36">
        <f t="shared" ref="D198:D261" si="10">B198/B197-1</f>
        <v>1.7365250771568252E-3</v>
      </c>
      <c r="E198" s="36">
        <f t="shared" ref="E198:E261" si="11">C198/C197-1</f>
        <v>1.2785271414129218E-2</v>
      </c>
    </row>
    <row r="199" spans="1:5" x14ac:dyDescent="0.3">
      <c r="A199" s="57">
        <f t="shared" si="9"/>
        <v>45782</v>
      </c>
      <c r="B199" s="44">
        <v>212.63031005859381</v>
      </c>
      <c r="C199" s="44">
        <v>24008</v>
      </c>
      <c r="D199" s="36">
        <f t="shared" si="10"/>
        <v>-2.2125874520419919E-2</v>
      </c>
      <c r="E199" s="36">
        <f t="shared" si="11"/>
        <v>-1.391150462355728E-2</v>
      </c>
    </row>
    <row r="200" spans="1:5" x14ac:dyDescent="0.3">
      <c r="A200" s="57">
        <f t="shared" si="9"/>
        <v>45789</v>
      </c>
      <c r="B200" s="44">
        <v>220.2288513183594</v>
      </c>
      <c r="C200" s="44">
        <v>25019.80078125</v>
      </c>
      <c r="D200" s="36">
        <f t="shared" si="10"/>
        <v>3.5735927101228748E-2</v>
      </c>
      <c r="E200" s="36">
        <f t="shared" si="11"/>
        <v>4.2144317779490237E-2</v>
      </c>
    </row>
    <row r="201" spans="1:5" x14ac:dyDescent="0.3">
      <c r="A201" s="57">
        <f t="shared" si="9"/>
        <v>45796</v>
      </c>
      <c r="B201" s="44">
        <v>218.4532165527344</v>
      </c>
      <c r="C201" s="44">
        <v>24853.150390625</v>
      </c>
      <c r="D201" s="36">
        <f t="shared" si="10"/>
        <v>-8.0626800484836503E-3</v>
      </c>
      <c r="E201" s="36">
        <f t="shared" si="11"/>
        <v>-6.6607401106841824E-3</v>
      </c>
    </row>
    <row r="202" spans="1:5" x14ac:dyDescent="0.3">
      <c r="A202" s="57">
        <f t="shared" si="9"/>
        <v>45803</v>
      </c>
      <c r="B202" s="44">
        <v>215.6260681152344</v>
      </c>
      <c r="C202" s="44">
        <v>24750.69921875</v>
      </c>
      <c r="D202" s="36">
        <f t="shared" si="10"/>
        <v>-1.2941665415201253E-2</v>
      </c>
      <c r="E202" s="36">
        <f t="shared" si="11"/>
        <v>-4.1222609715364511E-3</v>
      </c>
    </row>
    <row r="203" spans="1:5" x14ac:dyDescent="0.3">
      <c r="A203" s="57">
        <f t="shared" si="9"/>
        <v>45810</v>
      </c>
      <c r="B203" s="44">
        <v>215.72526550292969</v>
      </c>
      <c r="C203" s="44">
        <v>25003.05078125</v>
      </c>
      <c r="D203" s="36">
        <f t="shared" si="10"/>
        <v>4.600435771164868E-4</v>
      </c>
      <c r="E203" s="36">
        <f t="shared" si="11"/>
        <v>1.0195734684894431E-2</v>
      </c>
    </row>
    <row r="204" spans="1:5" x14ac:dyDescent="0.3">
      <c r="A204" s="57">
        <f t="shared" si="9"/>
        <v>45817</v>
      </c>
      <c r="B204" s="44">
        <v>212.75926208496091</v>
      </c>
      <c r="C204" s="44">
        <v>24718.599609375</v>
      </c>
      <c r="D204" s="36">
        <f t="shared" si="10"/>
        <v>-1.3748984900095018E-2</v>
      </c>
      <c r="E204" s="36">
        <f t="shared" si="11"/>
        <v>-1.1376658567134212E-2</v>
      </c>
    </row>
    <row r="205" spans="1:5" x14ac:dyDescent="0.3">
      <c r="A205" s="57">
        <f t="shared" si="9"/>
        <v>45824</v>
      </c>
      <c r="B205" s="44">
        <v>209.64445495605469</v>
      </c>
      <c r="C205" s="44">
        <v>25112.400390625</v>
      </c>
      <c r="D205" s="36">
        <f t="shared" si="10"/>
        <v>-1.4640054202022856E-2</v>
      </c>
      <c r="E205" s="36">
        <f t="shared" si="11"/>
        <v>1.5931354828881306E-2</v>
      </c>
    </row>
    <row r="206" spans="1:5" x14ac:dyDescent="0.3">
      <c r="A206" s="57">
        <f t="shared" si="9"/>
        <v>45831</v>
      </c>
      <c r="B206" s="44">
        <v>212.22358703613281</v>
      </c>
      <c r="C206" s="44">
        <v>25637.80078125</v>
      </c>
      <c r="D206" s="36">
        <f t="shared" si="10"/>
        <v>1.2302410195484281E-2</v>
      </c>
      <c r="E206" s="36">
        <f t="shared" si="11"/>
        <v>2.092195020995069E-2</v>
      </c>
    </row>
    <row r="207" spans="1:5" x14ac:dyDescent="0.3">
      <c r="A207" s="57">
        <f t="shared" si="9"/>
        <v>45838</v>
      </c>
      <c r="B207" s="44">
        <v>211.05305480957031</v>
      </c>
      <c r="C207" s="44">
        <v>25461</v>
      </c>
      <c r="D207" s="36">
        <f t="shared" si="10"/>
        <v>-5.5155614081822124E-3</v>
      </c>
      <c r="E207" s="36">
        <f t="shared" si="11"/>
        <v>-6.896097787736255E-3</v>
      </c>
    </row>
    <row r="208" spans="1:5" x14ac:dyDescent="0.3">
      <c r="A208" s="57">
        <f t="shared" si="9"/>
        <v>45845</v>
      </c>
      <c r="B208" s="44">
        <v>209.64445495605469</v>
      </c>
      <c r="C208" s="44">
        <v>25149.849609375</v>
      </c>
      <c r="D208" s="36">
        <f t="shared" si="10"/>
        <v>-6.6741505105746279E-3</v>
      </c>
      <c r="E208" s="36">
        <f t="shared" si="11"/>
        <v>-1.2220666534111024E-2</v>
      </c>
    </row>
    <row r="209" spans="1:5" x14ac:dyDescent="0.3">
      <c r="A209" s="57">
        <f t="shared" si="9"/>
        <v>45852</v>
      </c>
      <c r="B209" s="44">
        <v>224.37532043457031</v>
      </c>
      <c r="C209" s="44">
        <v>24968.400390625</v>
      </c>
      <c r="D209" s="36">
        <f t="shared" si="10"/>
        <v>7.0265943745583259E-2</v>
      </c>
      <c r="E209" s="36">
        <f t="shared" si="11"/>
        <v>-7.2147238082235221E-3</v>
      </c>
    </row>
    <row r="210" spans="1:5" x14ac:dyDescent="0.3">
      <c r="A210" s="57">
        <f t="shared" si="9"/>
        <v>45859</v>
      </c>
      <c r="B210" s="44">
        <v>229.9700622558594</v>
      </c>
      <c r="C210" s="44">
        <v>24837</v>
      </c>
      <c r="D210" s="36">
        <f t="shared" si="10"/>
        <v>2.4934746880598047E-2</v>
      </c>
      <c r="E210" s="36">
        <f t="shared" si="11"/>
        <v>-5.2626675545597301E-3</v>
      </c>
    </row>
    <row r="211" spans="1:5" x14ac:dyDescent="0.3">
      <c r="A211" s="57">
        <f t="shared" si="9"/>
        <v>45866</v>
      </c>
      <c r="B211" s="44">
        <v>241.8936462402344</v>
      </c>
      <c r="C211" s="44">
        <v>24565.349609375</v>
      </c>
      <c r="D211" s="36">
        <f t="shared" si="10"/>
        <v>5.1848418300244115E-2</v>
      </c>
      <c r="E211" s="36">
        <f t="shared" si="11"/>
        <v>-1.0937326997020547E-2</v>
      </c>
    </row>
    <row r="212" spans="1:5" x14ac:dyDescent="0.3">
      <c r="A212" s="57">
        <f t="shared" si="9"/>
        <v>45873</v>
      </c>
      <c r="B212" s="44">
        <v>257.68588256835938</v>
      </c>
      <c r="C212" s="44">
        <v>24363.30078125</v>
      </c>
      <c r="D212" s="36">
        <f t="shared" si="10"/>
        <v>6.5285866634301915E-2</v>
      </c>
      <c r="E212" s="36">
        <f t="shared" si="11"/>
        <v>-8.2249522737462E-3</v>
      </c>
    </row>
    <row r="213" spans="1:5" x14ac:dyDescent="0.3">
      <c r="A213" s="57">
        <f t="shared" si="9"/>
        <v>45880</v>
      </c>
      <c r="B213" s="44">
        <v>287.36373901367188</v>
      </c>
      <c r="C213" s="44">
        <v>24631.30078125</v>
      </c>
      <c r="D213" s="36">
        <f t="shared" si="10"/>
        <v>0.11517067271793402</v>
      </c>
      <c r="E213" s="36">
        <f t="shared" si="11"/>
        <v>1.1000151515029977E-2</v>
      </c>
    </row>
    <row r="214" spans="1:5" x14ac:dyDescent="0.3">
      <c r="A214" s="57">
        <f t="shared" si="9"/>
        <v>45887</v>
      </c>
      <c r="B214" s="44">
        <v>275.44830322265619</v>
      </c>
      <c r="C214" s="44">
        <v>24870.099609375</v>
      </c>
      <c r="D214" s="36">
        <f t="shared" si="10"/>
        <v>-4.1464646276922146E-2</v>
      </c>
      <c r="E214" s="36">
        <f t="shared" si="11"/>
        <v>9.6949337043044093E-3</v>
      </c>
    </row>
    <row r="215" spans="1:5" x14ac:dyDescent="0.3">
      <c r="A215" s="57">
        <f t="shared" si="9"/>
        <v>45894</v>
      </c>
      <c r="B215" s="44">
        <v>283.84982299804688</v>
      </c>
      <c r="C215" s="44">
        <v>24426.849609375</v>
      </c>
      <c r="D215" s="36">
        <f t="shared" si="10"/>
        <v>3.0501258047683111E-2</v>
      </c>
      <c r="E215" s="36">
        <f t="shared" si="11"/>
        <v>-1.7822606542070796E-2</v>
      </c>
    </row>
    <row r="216" spans="1:5" x14ac:dyDescent="0.3">
      <c r="A216" s="57">
        <f t="shared" si="9"/>
        <v>45901</v>
      </c>
      <c r="B216" s="44">
        <v>290.96722412109381</v>
      </c>
      <c r="C216" s="44">
        <v>24741</v>
      </c>
      <c r="D216" s="36">
        <f t="shared" si="10"/>
        <v>2.5074530777832837E-2</v>
      </c>
      <c r="E216" s="36">
        <f t="shared" si="11"/>
        <v>1.2860863993874538E-2</v>
      </c>
    </row>
    <row r="217" spans="1:5" x14ac:dyDescent="0.3">
      <c r="A217" s="57">
        <f t="shared" si="9"/>
        <v>45908</v>
      </c>
      <c r="B217" s="44">
        <v>270.90911865234381</v>
      </c>
      <c r="C217" s="44">
        <v>25114</v>
      </c>
      <c r="D217" s="36">
        <f t="shared" si="10"/>
        <v>-6.8935961874531548E-2</v>
      </c>
      <c r="E217" s="36">
        <f t="shared" si="11"/>
        <v>1.5076189321369338E-2</v>
      </c>
    </row>
    <row r="218" spans="1:5" x14ac:dyDescent="0.3">
      <c r="A218" s="57">
        <f t="shared" si="9"/>
        <v>45915</v>
      </c>
      <c r="B218" s="44">
        <v>272.20318603515619</v>
      </c>
      <c r="C218" s="44">
        <v>25327.05078125</v>
      </c>
      <c r="D218" s="36">
        <f t="shared" si="10"/>
        <v>4.7767583064379782E-3</v>
      </c>
      <c r="E218" s="36">
        <f t="shared" si="11"/>
        <v>8.483347186827972E-3</v>
      </c>
    </row>
    <row r="219" spans="1:5" x14ac:dyDescent="0.3">
      <c r="A219" s="57">
        <f t="shared" si="9"/>
        <v>45922</v>
      </c>
      <c r="B219" s="44">
        <v>251.8962097167969</v>
      </c>
      <c r="C219" s="44">
        <v>24654.69921875</v>
      </c>
      <c r="D219" s="36">
        <f t="shared" si="10"/>
        <v>-7.4602272714532236E-2</v>
      </c>
      <c r="E219" s="36">
        <f t="shared" si="11"/>
        <v>-2.6546776737138011E-2</v>
      </c>
    </row>
    <row r="220" spans="1:5" x14ac:dyDescent="0.3">
      <c r="A220" s="57">
        <f t="shared" si="9"/>
        <v>45929</v>
      </c>
      <c r="B220" s="44">
        <v>253.04095458984381</v>
      </c>
      <c r="C220" s="44">
        <v>24894.25</v>
      </c>
      <c r="D220" s="36">
        <f t="shared" si="10"/>
        <v>4.544510115233269E-3</v>
      </c>
      <c r="E220" s="36">
        <f t="shared" si="11"/>
        <v>9.7162321521173656E-3</v>
      </c>
    </row>
    <row r="221" spans="1:5" x14ac:dyDescent="0.3">
      <c r="A221" s="57">
        <f t="shared" si="9"/>
        <v>45936</v>
      </c>
      <c r="B221" s="44">
        <v>264.2894287109375</v>
      </c>
      <c r="C221" s="44">
        <v>25285.349609375</v>
      </c>
      <c r="D221" s="36">
        <f t="shared" si="10"/>
        <v>4.4453176124499061E-2</v>
      </c>
      <c r="E221" s="36">
        <f t="shared" si="11"/>
        <v>1.5710439534229792E-2</v>
      </c>
    </row>
    <row r="222" spans="1:5" x14ac:dyDescent="0.3">
      <c r="A222" s="57">
        <f t="shared" si="9"/>
        <v>45943</v>
      </c>
      <c r="B222" s="44">
        <v>256.57476806640619</v>
      </c>
      <c r="C222" s="44">
        <v>25709.849609375</v>
      </c>
      <c r="D222" s="36">
        <f t="shared" si="10"/>
        <v>-2.9190197588149114E-2</v>
      </c>
      <c r="E222" s="36">
        <f t="shared" si="11"/>
        <v>1.6788377719033409E-2</v>
      </c>
    </row>
    <row r="223" spans="1:5" x14ac:dyDescent="0.3">
      <c r="A223" s="57">
        <f t="shared" si="9"/>
        <v>45950</v>
      </c>
      <c r="B223" s="44">
        <v>249.85554504394531</v>
      </c>
      <c r="C223" s="44">
        <v>25795.150390625</v>
      </c>
      <c r="D223" s="36">
        <f t="shared" si="10"/>
        <v>-2.6188167578200194E-2</v>
      </c>
      <c r="E223" s="36">
        <f t="shared" si="11"/>
        <v>3.3178249793766046E-3</v>
      </c>
    </row>
    <row r="224" spans="1:5" x14ac:dyDescent="0.3">
      <c r="A224" s="57">
        <f t="shared" si="9"/>
        <v>45957</v>
      </c>
      <c r="B224" s="44">
        <v>255.7286376953125</v>
      </c>
      <c r="C224" s="44">
        <v>25722.099609375</v>
      </c>
      <c r="D224" s="36">
        <f t="shared" si="10"/>
        <v>2.3505952810989994E-2</v>
      </c>
      <c r="E224" s="36">
        <f t="shared" si="11"/>
        <v>-2.8319579511562054E-3</v>
      </c>
    </row>
    <row r="225" spans="1:5" x14ac:dyDescent="0.3">
      <c r="A225" s="57">
        <f t="shared" si="9"/>
        <v>45964</v>
      </c>
      <c r="B225" s="44">
        <v>245.2765197753906</v>
      </c>
      <c r="C225" s="44">
        <v>25492.30078125</v>
      </c>
      <c r="D225" s="36">
        <f t="shared" si="10"/>
        <v>-4.0871910217482377E-2</v>
      </c>
      <c r="E225" s="36">
        <f t="shared" si="11"/>
        <v>-8.9339063146013364E-3</v>
      </c>
    </row>
    <row r="226" spans="1:5" x14ac:dyDescent="0.3">
      <c r="A226" s="57">
        <f t="shared" si="9"/>
        <v>45971</v>
      </c>
      <c r="B226" s="44">
        <v>232.88328552246091</v>
      </c>
      <c r="C226" s="44">
        <v>25910.05078125</v>
      </c>
      <c r="D226" s="36">
        <f t="shared" si="10"/>
        <v>-5.0527601517987408E-2</v>
      </c>
      <c r="E226" s="36">
        <f t="shared" si="11"/>
        <v>1.6387300761305124E-2</v>
      </c>
    </row>
    <row r="227" spans="1:5" x14ac:dyDescent="0.3">
      <c r="A227" s="57">
        <f t="shared" si="9"/>
        <v>45978</v>
      </c>
      <c r="B227" s="44">
        <v>223.3768310546875</v>
      </c>
      <c r="C227" s="44">
        <v>26068.150390625</v>
      </c>
      <c r="D227" s="36">
        <f t="shared" si="10"/>
        <v>-4.082068168372921E-2</v>
      </c>
      <c r="E227" s="36">
        <f t="shared" si="11"/>
        <v>6.1018641263879125E-3</v>
      </c>
    </row>
    <row r="228" spans="1:5" x14ac:dyDescent="0.3">
      <c r="A228" s="57">
        <f t="shared" si="9"/>
        <v>45985</v>
      </c>
      <c r="B228" s="44">
        <v>224.37226867675781</v>
      </c>
      <c r="C228" s="44">
        <v>26202.94921875</v>
      </c>
      <c r="D228" s="36">
        <f t="shared" si="10"/>
        <v>4.45631544404268E-3</v>
      </c>
      <c r="E228" s="36">
        <f t="shared" si="11"/>
        <v>5.1710162057940767E-3</v>
      </c>
    </row>
    <row r="229" spans="1:5" x14ac:dyDescent="0.3">
      <c r="A229" s="57">
        <f t="shared" si="9"/>
        <v>45992</v>
      </c>
      <c r="B229" s="44">
        <v>221.78413391113281</v>
      </c>
      <c r="C229" s="44">
        <v>26186.44921875</v>
      </c>
      <c r="D229" s="36">
        <f t="shared" si="10"/>
        <v>-1.1535002881098433E-2</v>
      </c>
      <c r="E229" s="36">
        <f t="shared" si="11"/>
        <v>-6.2970010979501723E-4</v>
      </c>
    </row>
    <row r="230" spans="1:5" x14ac:dyDescent="0.3">
      <c r="A230" s="57">
        <f t="shared" si="9"/>
        <v>45999</v>
      </c>
      <c r="B230" s="44">
        <v>220.55973815917969</v>
      </c>
      <c r="C230" s="44">
        <v>26046.94921875</v>
      </c>
      <c r="D230" s="36">
        <f t="shared" si="10"/>
        <v>-5.5206643070496719E-3</v>
      </c>
      <c r="E230" s="36">
        <f t="shared" si="11"/>
        <v>-5.3271827285432671E-3</v>
      </c>
    </row>
    <row r="231" spans="1:5" x14ac:dyDescent="0.3">
      <c r="A231" s="57">
        <f t="shared" si="9"/>
        <v>46006</v>
      </c>
      <c r="B231" s="44">
        <v>215.5626220703125</v>
      </c>
      <c r="C231" s="44">
        <v>25966.400390625</v>
      </c>
      <c r="D231" s="36">
        <f t="shared" si="10"/>
        <v>-2.2656519864295177E-2</v>
      </c>
      <c r="E231" s="36">
        <f t="shared" si="11"/>
        <v>-3.0924476969846904E-3</v>
      </c>
    </row>
    <row r="232" spans="1:5" x14ac:dyDescent="0.3">
      <c r="A232" s="57">
        <f t="shared" si="9"/>
        <v>46013</v>
      </c>
      <c r="B232" s="44">
        <v>224.75053405761719</v>
      </c>
      <c r="C232" s="44">
        <v>26042.30078125</v>
      </c>
      <c r="D232" s="36">
        <f t="shared" si="10"/>
        <v>4.2622936662496835E-2</v>
      </c>
      <c r="E232" s="36">
        <f t="shared" si="11"/>
        <v>2.9230231947130481E-3</v>
      </c>
    </row>
    <row r="233" spans="1:5" x14ac:dyDescent="0.3">
      <c r="A233" s="57">
        <f t="shared" si="9"/>
        <v>46020</v>
      </c>
      <c r="B233" s="44">
        <v>221.49543762207031</v>
      </c>
      <c r="C233" s="44">
        <v>26328.55078125</v>
      </c>
      <c r="D233" s="36">
        <f t="shared" si="10"/>
        <v>-1.4483153284576389E-2</v>
      </c>
      <c r="E233" s="36">
        <f t="shared" si="11"/>
        <v>1.099173235131734E-2</v>
      </c>
    </row>
    <row r="234" spans="1:5" x14ac:dyDescent="0.3">
      <c r="A234" s="57">
        <f t="shared" si="9"/>
        <v>46027</v>
      </c>
      <c r="B234" s="44">
        <v>217.5236511230469</v>
      </c>
      <c r="C234" s="44">
        <v>25683.30078125</v>
      </c>
      <c r="D234" s="36">
        <f t="shared" si="10"/>
        <v>-1.7931685373133166E-2</v>
      </c>
      <c r="E234" s="36">
        <f t="shared" si="11"/>
        <v>-2.4507615529659854E-2</v>
      </c>
    </row>
    <row r="235" spans="1:5" x14ac:dyDescent="0.3">
      <c r="A235" s="57">
        <f t="shared" si="9"/>
        <v>46034</v>
      </c>
      <c r="B235" s="44">
        <v>215.44316101074219</v>
      </c>
      <c r="C235" s="44">
        <v>25694.349609375</v>
      </c>
      <c r="D235" s="36">
        <f t="shared" si="10"/>
        <v>-9.5644317367946652E-3</v>
      </c>
      <c r="E235" s="36">
        <f t="shared" si="11"/>
        <v>4.3019502123597952E-4</v>
      </c>
    </row>
    <row r="236" spans="1:5" x14ac:dyDescent="0.3">
      <c r="A236" s="57">
        <f t="shared" si="9"/>
        <v>46041</v>
      </c>
      <c r="B236" s="44">
        <v>210.84423828125</v>
      </c>
      <c r="C236" s="44">
        <v>25048.650390625</v>
      </c>
      <c r="D236" s="36">
        <f t="shared" si="10"/>
        <v>-2.1346338904036366E-2</v>
      </c>
      <c r="E236" s="36">
        <f t="shared" si="11"/>
        <v>-2.5130008292344796E-2</v>
      </c>
    </row>
    <row r="237" spans="1:5" x14ac:dyDescent="0.3">
      <c r="A237" s="57">
        <f t="shared" si="9"/>
        <v>46048</v>
      </c>
      <c r="B237" s="44">
        <v>213.49211120605469</v>
      </c>
      <c r="C237" s="44">
        <v>24825.44921875</v>
      </c>
      <c r="D237" s="36">
        <f t="shared" si="10"/>
        <v>1.2558431505596213E-2</v>
      </c>
      <c r="E237" s="36">
        <f t="shared" si="11"/>
        <v>-8.9107065009194075E-3</v>
      </c>
    </row>
    <row r="238" spans="1:5" x14ac:dyDescent="0.3">
      <c r="A238" s="57">
        <f t="shared" si="9"/>
        <v>46055</v>
      </c>
      <c r="B238" s="44">
        <v>214.4477233886719</v>
      </c>
      <c r="C238" s="44">
        <v>25693.69921875</v>
      </c>
      <c r="D238" s="36">
        <f t="shared" si="10"/>
        <v>4.4761006728482045E-3</v>
      </c>
      <c r="E238" s="36">
        <f t="shared" si="11"/>
        <v>3.4974190893763746E-2</v>
      </c>
    </row>
    <row r="239" spans="1:5" x14ac:dyDescent="0.3">
      <c r="A239" s="57">
        <f t="shared" si="9"/>
        <v>46062</v>
      </c>
      <c r="B239" s="44">
        <v>216.4700012207031</v>
      </c>
      <c r="C239" s="44">
        <v>25471.099609375</v>
      </c>
      <c r="D239" s="36">
        <f t="shared" si="10"/>
        <v>9.4301669426724022E-3</v>
      </c>
      <c r="E239" s="36">
        <f t="shared" si="11"/>
        <v>-8.6635874219527231E-3</v>
      </c>
    </row>
    <row r="240" spans="1:5" x14ac:dyDescent="0.3">
      <c r="A240" s="57">
        <f t="shared" si="9"/>
        <v>46069</v>
      </c>
      <c r="B240" s="44">
        <v>213.47999572753909</v>
      </c>
      <c r="C240" s="44">
        <v>25571.25</v>
      </c>
      <c r="D240" s="36">
        <f t="shared" si="10"/>
        <v>-1.3812562832276831E-2</v>
      </c>
      <c r="E240" s="36">
        <f t="shared" si="11"/>
        <v>3.9319225381277967E-3</v>
      </c>
    </row>
    <row r="241" spans="1:5" x14ac:dyDescent="0.3">
      <c r="A241" s="57">
        <f t="shared" si="9"/>
        <v>46076</v>
      </c>
      <c r="B241" s="44">
        <v>214.21000671386719</v>
      </c>
      <c r="C241" s="44">
        <v>25178.650390625</v>
      </c>
      <c r="D241" s="36">
        <f t="shared" si="10"/>
        <v>3.4195756086663476E-3</v>
      </c>
      <c r="E241" s="36">
        <f t="shared" si="11"/>
        <v>-1.5353164564696709E-2</v>
      </c>
    </row>
    <row r="242" spans="1:5" x14ac:dyDescent="0.3">
      <c r="A242" s="57">
        <f t="shared" si="9"/>
        <v>46083</v>
      </c>
      <c r="B242" s="44">
        <v>203.96000671386719</v>
      </c>
      <c r="C242" s="44">
        <v>24450.44921875</v>
      </c>
      <c r="D242" s="36">
        <f t="shared" si="10"/>
        <v>-4.7850238918537236E-2</v>
      </c>
      <c r="E242" s="36">
        <f t="shared" si="11"/>
        <v>-2.8921374282480872E-2</v>
      </c>
    </row>
    <row r="243" spans="1:5" x14ac:dyDescent="0.3">
      <c r="A243" s="57">
        <f t="shared" si="9"/>
        <v>46090</v>
      </c>
      <c r="B243" s="44">
        <v>204.92999267578119</v>
      </c>
      <c r="C243" s="44">
        <v>23151.099609375</v>
      </c>
      <c r="D243" s="36">
        <f t="shared" si="10"/>
        <v>4.7557654931575932E-3</v>
      </c>
      <c r="E243" s="36">
        <f t="shared" si="11"/>
        <v>-5.3142156929312567E-2</v>
      </c>
    </row>
    <row r="244" spans="1:5" x14ac:dyDescent="0.3">
      <c r="A244" s="57">
        <f t="shared" si="9"/>
        <v>46097</v>
      </c>
      <c r="B244" s="44">
        <v>216.38999938964841</v>
      </c>
      <c r="C244" s="44">
        <v>23114.5</v>
      </c>
      <c r="D244" s="36">
        <f t="shared" si="10"/>
        <v>5.5921568942804978E-2</v>
      </c>
      <c r="E244" s="36">
        <f t="shared" si="11"/>
        <v>-1.5809015551113692E-3</v>
      </c>
    </row>
    <row r="245" spans="1:5" x14ac:dyDescent="0.3">
      <c r="A245" s="57">
        <f t="shared" si="9"/>
        <v>46104</v>
      </c>
      <c r="B245" s="44">
        <v>206.7200012207031</v>
      </c>
      <c r="C245" s="44">
        <v>22819.599609375</v>
      </c>
      <c r="D245" s="36">
        <f t="shared" si="10"/>
        <v>-4.4687823819125616E-2</v>
      </c>
      <c r="E245" s="36">
        <f t="shared" si="11"/>
        <v>-1.2758242255943242E-2</v>
      </c>
    </row>
    <row r="246" spans="1:5" x14ac:dyDescent="0.3">
      <c r="A246" s="57">
        <f t="shared" si="9"/>
        <v>46111</v>
      </c>
      <c r="B246" s="44">
        <v>206.8800048828125</v>
      </c>
      <c r="C246" s="44">
        <v>22713.099609375</v>
      </c>
      <c r="D246" s="36">
        <f t="shared" si="10"/>
        <v>7.7401151879152863E-4</v>
      </c>
      <c r="E246" s="36">
        <f t="shared" si="11"/>
        <v>-4.6670406940990672E-3</v>
      </c>
    </row>
    <row r="247" spans="1:5" x14ac:dyDescent="0.3">
      <c r="A247" s="57">
        <f t="shared" si="9"/>
        <v>46118</v>
      </c>
      <c r="B247" s="44">
        <v>216.3999938964844</v>
      </c>
      <c r="C247" s="44">
        <v>24050.599609375</v>
      </c>
      <c r="D247" s="36">
        <f t="shared" si="10"/>
        <v>4.6016960503575621E-2</v>
      </c>
      <c r="E247" s="36">
        <f t="shared" si="11"/>
        <v>5.888672277243634E-2</v>
      </c>
    </row>
    <row r="248" spans="1:5" x14ac:dyDescent="0.3">
      <c r="A248" s="57">
        <f t="shared" si="9"/>
        <v>46125</v>
      </c>
      <c r="B248" s="44">
        <v>222.36000061035159</v>
      </c>
      <c r="C248" s="44">
        <v>24353.55078125</v>
      </c>
      <c r="D248" s="36">
        <f t="shared" si="10"/>
        <v>2.7541621450868359E-2</v>
      </c>
      <c r="E248" s="36">
        <f t="shared" si="11"/>
        <v>1.2596408272370407E-2</v>
      </c>
    </row>
    <row r="249" spans="1:5" x14ac:dyDescent="0.3">
      <c r="A249" s="57">
        <f t="shared" si="9"/>
        <v>46132</v>
      </c>
      <c r="B249" s="44">
        <v>231.75</v>
      </c>
      <c r="C249" s="44">
        <v>23897.94921875</v>
      </c>
      <c r="D249" s="36">
        <f t="shared" si="10"/>
        <v>4.2228815271964315E-2</v>
      </c>
      <c r="E249" s="36">
        <f t="shared" si="11"/>
        <v>-1.8707808425651451E-2</v>
      </c>
    </row>
    <row r="250" spans="1:5" x14ac:dyDescent="0.3">
      <c r="A250" s="57">
        <f t="shared" si="9"/>
        <v>46139</v>
      </c>
      <c r="B250" s="44">
        <v>230.28999328613281</v>
      </c>
      <c r="C250" s="44">
        <v>23997.55078125</v>
      </c>
      <c r="D250" s="36">
        <f t="shared" si="10"/>
        <v>-6.2999210954355345E-3</v>
      </c>
      <c r="E250" s="36">
        <f t="shared" si="11"/>
        <v>4.1677870175509391E-3</v>
      </c>
    </row>
    <row r="251" spans="1:5" x14ac:dyDescent="0.3">
      <c r="A251" s="57">
        <f t="shared" si="9"/>
        <v>46146</v>
      </c>
      <c r="B251" s="44">
        <v>236.44999694824219</v>
      </c>
      <c r="C251" s="44">
        <v>24176.150390625</v>
      </c>
      <c r="D251" s="36">
        <f t="shared" si="10"/>
        <v>2.6748898526631315E-2</v>
      </c>
      <c r="E251" s="36">
        <f t="shared" si="11"/>
        <v>7.442409894369062E-3</v>
      </c>
    </row>
    <row r="252" spans="1:5" x14ac:dyDescent="0.3">
      <c r="A252" s="57">
        <f t="shared" si="9"/>
        <v>46153</v>
      </c>
      <c r="B252" s="44">
        <v>215.1199951171875</v>
      </c>
      <c r="C252" s="44">
        <v>23643.5</v>
      </c>
      <c r="D252" s="36">
        <f t="shared" si="10"/>
        <v>-9.0209355493135135E-2</v>
      </c>
      <c r="E252" s="36">
        <f t="shared" si="11"/>
        <v>-2.2032059778696267E-2</v>
      </c>
    </row>
    <row r="253" spans="1:5" x14ac:dyDescent="0.3">
      <c r="A253" s="57">
        <f t="shared" si="9"/>
        <v>46160</v>
      </c>
      <c r="B253" s="44">
        <v>220.99000549316409</v>
      </c>
      <c r="C253" s="44">
        <v>23719.30078125</v>
      </c>
      <c r="D253" s="36">
        <f t="shared" si="10"/>
        <v>2.7287144427364352E-2</v>
      </c>
      <c r="E253" s="36">
        <f t="shared" si="11"/>
        <v>3.2059881679953328E-3</v>
      </c>
    </row>
    <row r="254" spans="1:5" x14ac:dyDescent="0.3">
      <c r="A254" s="57">
        <f t="shared" si="9"/>
        <v>46167</v>
      </c>
      <c r="B254" s="44">
        <v>217.94999694824219</v>
      </c>
      <c r="C254" s="44">
        <v>23547.75</v>
      </c>
      <c r="D254" s="36">
        <f t="shared" si="10"/>
        <v>-1.3756316889253828E-2</v>
      </c>
      <c r="E254" s="36">
        <f t="shared" si="11"/>
        <v>-7.2325395605932208E-3</v>
      </c>
    </row>
    <row r="255" spans="1:5" x14ac:dyDescent="0.3">
      <c r="A255" s="57">
        <f t="shared" si="9"/>
        <v>46174</v>
      </c>
      <c r="B255" s="44">
        <v>209.05999755859381</v>
      </c>
      <c r="C255" s="44">
        <v>23366.69921875</v>
      </c>
      <c r="D255" s="36">
        <f t="shared" si="10"/>
        <v>-4.0789169599114716E-2</v>
      </c>
      <c r="E255" s="36">
        <f t="shared" si="11"/>
        <v>-7.6886658491788218E-3</v>
      </c>
    </row>
    <row r="256" spans="1:5" x14ac:dyDescent="0.3">
      <c r="A256" s="57">
        <f t="shared" si="9"/>
        <v>46181</v>
      </c>
      <c r="B256" s="44">
        <v>218.57000732421881</v>
      </c>
      <c r="C256" s="44">
        <v>23622.900390625</v>
      </c>
      <c r="D256" s="36">
        <f t="shared" si="10"/>
        <v>4.5489380449072359E-2</v>
      </c>
      <c r="E256" s="36">
        <f t="shared" si="11"/>
        <v>1.0964371539024187E-2</v>
      </c>
    </row>
    <row r="257" spans="1:5" x14ac:dyDescent="0.3">
      <c r="A257" s="57">
        <f t="shared" si="9"/>
        <v>46188</v>
      </c>
      <c r="B257" s="44">
        <v>213.25</v>
      </c>
      <c r="C257" s="44">
        <v>24013.099609375</v>
      </c>
      <c r="D257" s="36">
        <f t="shared" si="10"/>
        <v>-2.4340061060286744E-2</v>
      </c>
      <c r="E257" s="36">
        <f t="shared" si="11"/>
        <v>1.6517837026686744E-2</v>
      </c>
    </row>
    <row r="258" spans="1:5" x14ac:dyDescent="0.3">
      <c r="A258" s="57">
        <f t="shared" si="9"/>
        <v>46195</v>
      </c>
      <c r="B258" s="44">
        <v>210.6499938964844</v>
      </c>
      <c r="C258" s="44">
        <v>24056</v>
      </c>
      <c r="D258" s="36">
        <f t="shared" si="10"/>
        <v>-1.2192291223988683E-2</v>
      </c>
      <c r="E258" s="36">
        <f t="shared" si="11"/>
        <v>1.78654115140775E-3</v>
      </c>
    </row>
    <row r="259" spans="1:5" x14ac:dyDescent="0.3">
      <c r="A259" s="57">
        <f t="shared" si="9"/>
        <v>46202</v>
      </c>
      <c r="B259" s="44">
        <v>209.69000244140619</v>
      </c>
      <c r="C259" s="44">
        <v>24270.849609375</v>
      </c>
      <c r="D259" s="36">
        <f t="shared" si="10"/>
        <v>-4.5572821404873398E-3</v>
      </c>
      <c r="E259" s="36">
        <f t="shared" si="11"/>
        <v>8.9312275263966345E-3</v>
      </c>
    </row>
    <row r="260" spans="1:5" x14ac:dyDescent="0.3">
      <c r="A260" s="57">
        <f t="shared" si="9"/>
        <v>46209</v>
      </c>
      <c r="B260" s="44">
        <v>205.25999450683591</v>
      </c>
      <c r="C260" s="44">
        <v>24206.900390625</v>
      </c>
      <c r="D260" s="36">
        <f t="shared" si="10"/>
        <v>-2.112646231576143E-2</v>
      </c>
      <c r="E260" s="36">
        <f t="shared" si="11"/>
        <v>-2.6348158296567448E-3</v>
      </c>
    </row>
    <row r="261" spans="1:5" x14ac:dyDescent="0.3">
      <c r="A261" s="57">
        <f t="shared" si="9"/>
        <v>46216</v>
      </c>
      <c r="B261" s="44">
        <v>205.44999694824219</v>
      </c>
      <c r="C261" s="44">
        <v>24334.30078125</v>
      </c>
      <c r="D261" s="36">
        <f t="shared" si="10"/>
        <v>9.2566718547759663E-4</v>
      </c>
      <c r="E261" s="36">
        <f t="shared" si="11"/>
        <v>5.2629782652529045E-3</v>
      </c>
    </row>
    <row r="262" spans="1:5" x14ac:dyDescent="0.3">
      <c r="A262" s="57">
        <f t="shared" ref="A262:A264" si="12">A261+7</f>
        <v>46223</v>
      </c>
      <c r="B262" s="44">
        <v>204.8800048828125</v>
      </c>
      <c r="C262" s="44">
        <v>23767.44921875</v>
      </c>
      <c r="D262" s="36">
        <f t="shared" ref="D262:E264" si="13">B262/B261-1</f>
        <v>-2.7743590844310217E-3</v>
      </c>
      <c r="E262" s="36">
        <f t="shared" si="13"/>
        <v>-2.3294343552158647E-2</v>
      </c>
    </row>
    <row r="263" spans="1:5" x14ac:dyDescent="0.3">
      <c r="A263" s="57">
        <f t="shared" si="12"/>
        <v>46230</v>
      </c>
      <c r="B263" s="44">
        <v>202.5299987792969</v>
      </c>
      <c r="C263" s="44">
        <v>24383.599609375</v>
      </c>
      <c r="D263" s="36">
        <f t="shared" si="13"/>
        <v>-1.1470158373237838E-2</v>
      </c>
      <c r="E263" s="36">
        <f t="shared" si="13"/>
        <v>2.5924127783090833E-2</v>
      </c>
    </row>
    <row r="264" spans="1:5" x14ac:dyDescent="0.3">
      <c r="A264" s="57">
        <f t="shared" si="12"/>
        <v>46237</v>
      </c>
      <c r="B264" s="44">
        <v>203.7200012207031</v>
      </c>
      <c r="C264" s="44">
        <v>24614.900390625</v>
      </c>
      <c r="D264" s="36">
        <f t="shared" si="13"/>
        <v>5.8756848297962794E-3</v>
      </c>
      <c r="E264" s="36">
        <f t="shared" si="13"/>
        <v>9.4859161467313324E-3</v>
      </c>
    </row>
    <row r="265" spans="1:5" x14ac:dyDescent="0.3">
      <c r="A265" s="57">
        <f>A264+7</f>
        <v>46244</v>
      </c>
      <c r="B265" s="44">
        <v>198.94</v>
      </c>
      <c r="C265" s="44">
        <v>24583.8</v>
      </c>
      <c r="D265" s="36">
        <f t="shared" ref="D265" si="14">B265/B264-1</f>
        <v>-2.3463583310725622E-2</v>
      </c>
      <c r="E265" s="36">
        <f t="shared" ref="E265" si="15">C265/C264-1</f>
        <v>-1.2634782238178932E-3</v>
      </c>
    </row>
    <row r="266" spans="1:5" x14ac:dyDescent="0.3">
      <c r="A266" s="57"/>
      <c r="B266" s="44"/>
      <c r="C266" s="44"/>
      <c r="D266" s="36"/>
      <c r="E266" s="36"/>
    </row>
    <row r="267" spans="1:5" x14ac:dyDescent="0.3">
      <c r="A267" s="57"/>
      <c r="B267" s="44"/>
      <c r="C267" s="44"/>
      <c r="D267" s="36"/>
      <c r="E267" s="36"/>
    </row>
    <row r="268" spans="1:5" x14ac:dyDescent="0.3">
      <c r="A268" s="57"/>
      <c r="B268" s="44"/>
      <c r="C268" s="44"/>
      <c r="D268" s="36"/>
      <c r="E268" s="36"/>
    </row>
    <row r="269" spans="1:5" x14ac:dyDescent="0.3">
      <c r="A269" s="57"/>
      <c r="B269" s="44"/>
      <c r="C269" s="44"/>
      <c r="D269" s="36"/>
      <c r="E269" s="36"/>
    </row>
    <row r="270" spans="1:5" x14ac:dyDescent="0.3">
      <c r="A270" s="57"/>
      <c r="B270" s="44"/>
      <c r="C270" s="44"/>
      <c r="D270" s="36"/>
      <c r="E270" s="36"/>
    </row>
    <row r="271" spans="1:5" x14ac:dyDescent="0.3">
      <c r="A271" s="57"/>
      <c r="B271" s="44"/>
      <c r="C271" s="44"/>
      <c r="D271" s="36"/>
      <c r="E271" s="36"/>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222EA-0745-4DFF-86E1-A9E72CD29865}">
  <sheetPr codeName="Sheet9"/>
  <dimension ref="A1:L272"/>
  <sheetViews>
    <sheetView showGridLines="0" topLeftCell="B1" zoomScale="109" workbookViewId="0">
      <selection activeCell="H8" sqref="H8"/>
    </sheetView>
  </sheetViews>
  <sheetFormatPr defaultRowHeight="14.4" x14ac:dyDescent="0.3"/>
  <cols>
    <col min="1" max="4" width="14.44140625" customWidth="1"/>
    <col min="7" max="7" width="12.6640625" customWidth="1"/>
    <col min="8" max="8" width="10.33203125" customWidth="1"/>
  </cols>
  <sheetData>
    <row r="1" spans="1:12" s="56" customFormat="1" ht="32.4" x14ac:dyDescent="0.6">
      <c r="A1" s="3" t="s">
        <v>23</v>
      </c>
      <c r="B1" s="4"/>
      <c r="C1" s="4"/>
      <c r="D1" s="5"/>
      <c r="E1" s="5"/>
      <c r="F1" s="5"/>
      <c r="G1" s="5"/>
      <c r="H1" s="5"/>
      <c r="I1" s="5"/>
      <c r="J1" s="5"/>
      <c r="K1" s="55"/>
      <c r="L1" s="55"/>
    </row>
    <row r="2" spans="1:12" s="56" customFormat="1" ht="23.4" x14ac:dyDescent="0.45">
      <c r="A2" s="61" t="s">
        <v>140</v>
      </c>
      <c r="B2" s="13"/>
      <c r="C2" s="4"/>
      <c r="D2" s="5"/>
      <c r="E2" s="5"/>
      <c r="F2" s="5"/>
      <c r="G2" s="5"/>
      <c r="H2" s="5"/>
      <c r="I2" s="5"/>
      <c r="J2" s="5"/>
      <c r="K2" s="55"/>
      <c r="L2" s="55"/>
    </row>
    <row r="3" spans="1:12" x14ac:dyDescent="0.3">
      <c r="A3" s="111" t="s">
        <v>145</v>
      </c>
      <c r="B3" s="111" t="s">
        <v>141</v>
      </c>
      <c r="C3" s="111" t="s">
        <v>142</v>
      </c>
      <c r="D3" s="111" t="s">
        <v>143</v>
      </c>
      <c r="E3" s="111" t="s">
        <v>144</v>
      </c>
      <c r="F3" s="6"/>
      <c r="G3" s="6"/>
      <c r="H3" s="6"/>
      <c r="I3" s="6"/>
      <c r="J3" s="6"/>
    </row>
    <row r="4" spans="1:12" x14ac:dyDescent="0.3">
      <c r="A4" s="57">
        <f>Beta!A4</f>
        <v>44417</v>
      </c>
      <c r="B4" s="44">
        <f>Beta!B4</f>
        <v>115.11895751953119</v>
      </c>
      <c r="C4" s="44">
        <f>Beta!C4</f>
        <v>16529.099609375</v>
      </c>
      <c r="D4" s="36">
        <v>-1.8763694130196851E-2</v>
      </c>
      <c r="E4" s="36">
        <v>3.3894725818587552E-2</v>
      </c>
    </row>
    <row r="5" spans="1:12" x14ac:dyDescent="0.3">
      <c r="A5" s="57">
        <f>Beta!A5</f>
        <v>44424</v>
      </c>
      <c r="B5" s="44">
        <f>Beta!B5</f>
        <v>114.7221603393555</v>
      </c>
      <c r="C5" s="44">
        <f>Beta!C5</f>
        <v>16450.5</v>
      </c>
      <c r="D5" s="36">
        <v>-3.5800209549641249E-3</v>
      </c>
      <c r="E5" s="36">
        <v>1.7156207079156442E-2</v>
      </c>
    </row>
    <row r="6" spans="1:12" x14ac:dyDescent="0.3">
      <c r="A6" s="57">
        <f>Beta!A6</f>
        <v>44431</v>
      </c>
      <c r="B6" s="44">
        <f>Beta!B6</f>
        <v>105.8935623168945</v>
      </c>
      <c r="C6" s="44">
        <f>Beta!C6</f>
        <v>16705.19921875</v>
      </c>
      <c r="D6" s="36">
        <v>2.3019340186078319E-2</v>
      </c>
      <c r="E6" s="36">
        <v>1.5198556810893221E-2</v>
      </c>
    </row>
    <row r="7" spans="1:12" x14ac:dyDescent="0.3">
      <c r="A7" s="57">
        <f>Beta!A7</f>
        <v>44438</v>
      </c>
      <c r="B7" s="44">
        <f>Beta!B7</f>
        <v>106.33995056152339</v>
      </c>
      <c r="C7" s="44">
        <f>Beta!C7</f>
        <v>17323.599609375</v>
      </c>
      <c r="D7" s="36">
        <v>1.9660031618676129E-2</v>
      </c>
      <c r="E7" s="36">
        <v>8.2385162569200698E-3</v>
      </c>
      <c r="G7" s="112" t="s">
        <v>146</v>
      </c>
      <c r="H7" s="58">
        <v>5</v>
      </c>
    </row>
    <row r="8" spans="1:12" x14ac:dyDescent="0.3">
      <c r="A8" s="57">
        <f>Beta!A8</f>
        <v>44445</v>
      </c>
      <c r="B8" s="44">
        <f>Beta!B8</f>
        <v>106.4391555786133</v>
      </c>
      <c r="C8" s="44">
        <f>Beta!C8</f>
        <v>17369.25</v>
      </c>
      <c r="D8" s="36">
        <v>1.7229340017419489E-2</v>
      </c>
      <c r="E8" s="36">
        <v>-7.3420743807813826E-3</v>
      </c>
      <c r="G8" s="112" t="s">
        <v>147</v>
      </c>
      <c r="H8" s="58" t="s">
        <v>148</v>
      </c>
    </row>
    <row r="9" spans="1:12" x14ac:dyDescent="0.3">
      <c r="A9" s="57">
        <f>Beta!A9</f>
        <v>44452</v>
      </c>
      <c r="B9" s="44">
        <f>Beta!B9</f>
        <v>107.7783203125</v>
      </c>
      <c r="C9" s="44">
        <f>Beta!C9</f>
        <v>17585.150390625</v>
      </c>
      <c r="D9" s="36">
        <v>1.405009329384588E-2</v>
      </c>
      <c r="E9" s="36">
        <v>1.128585438752161E-2</v>
      </c>
      <c r="G9" s="112" t="s">
        <v>140</v>
      </c>
      <c r="H9" s="59">
        <f>_xlfn.RRI(H7,B4,B265)</f>
        <v>0.11561681911953037</v>
      </c>
    </row>
    <row r="10" spans="1:12" x14ac:dyDescent="0.3">
      <c r="A10" s="57">
        <f>Beta!A10</f>
        <v>44459</v>
      </c>
      <c r="B10" s="44">
        <f>Beta!B10</f>
        <v>106.984733581543</v>
      </c>
      <c r="C10" s="44">
        <f>Beta!C10</f>
        <v>17853.19921875</v>
      </c>
      <c r="D10" s="36">
        <v>-3.3991427441596112E-2</v>
      </c>
      <c r="E10" s="36">
        <v>-8.7103637350365304E-3</v>
      </c>
      <c r="G10" s="112" t="s">
        <v>138</v>
      </c>
      <c r="H10" s="58">
        <f>SLOPE(D4:D265,E4:E265)</f>
        <v>0.52481397098178117</v>
      </c>
    </row>
    <row r="11" spans="1:12" x14ac:dyDescent="0.3">
      <c r="A11" s="57">
        <f>Beta!A11</f>
        <v>44466</v>
      </c>
      <c r="B11" s="44">
        <f>Beta!B11</f>
        <v>106.38954925537109</v>
      </c>
      <c r="C11" s="44">
        <f>Beta!C11</f>
        <v>17532.05078125</v>
      </c>
      <c r="D11" s="36">
        <v>-1.956104288511851E-2</v>
      </c>
      <c r="E11" s="36">
        <v>-2.060805117763409E-3</v>
      </c>
      <c r="G11" s="112" t="s">
        <v>322</v>
      </c>
      <c r="H11" s="215">
        <f>MAX(B217:B265)</f>
        <v>272.20318603515619</v>
      </c>
    </row>
    <row r="12" spans="1:12" x14ac:dyDescent="0.3">
      <c r="A12" s="57">
        <f>Beta!A12</f>
        <v>44473</v>
      </c>
      <c r="B12" s="44">
        <f>Beta!B12</f>
        <v>105.64556884765619</v>
      </c>
      <c r="C12" s="44">
        <f>Beta!C12</f>
        <v>17895.19921875</v>
      </c>
      <c r="D12" s="36">
        <v>-1.005486424158164E-2</v>
      </c>
      <c r="E12" s="36">
        <v>1.488869130552639E-2</v>
      </c>
      <c r="G12" s="112" t="s">
        <v>323</v>
      </c>
      <c r="H12" s="215">
        <f>MIN(B217:B265)</f>
        <v>198.94</v>
      </c>
    </row>
    <row r="13" spans="1:12" x14ac:dyDescent="0.3">
      <c r="A13" s="57">
        <f>Beta!A13</f>
        <v>44480</v>
      </c>
      <c r="B13" s="44">
        <f>Beta!B13</f>
        <v>103.06642913818359</v>
      </c>
      <c r="C13" s="44">
        <f>Beta!C13</f>
        <v>18338.55078125</v>
      </c>
      <c r="D13" s="36">
        <v>-3.4868228534268297E-4</v>
      </c>
      <c r="E13" s="36">
        <v>-4.229661019963582E-3</v>
      </c>
    </row>
    <row r="14" spans="1:12" x14ac:dyDescent="0.3">
      <c r="A14" s="57">
        <f>Beta!A14</f>
        <v>44487</v>
      </c>
      <c r="B14" s="44">
        <f>Beta!B14</f>
        <v>99.842498779296875</v>
      </c>
      <c r="C14" s="44">
        <f>Beta!C14</f>
        <v>18114.900390625</v>
      </c>
      <c r="D14" s="36">
        <v>-4.767790657361215E-3</v>
      </c>
      <c r="E14" s="36">
        <v>-5.865269165117426E-3</v>
      </c>
    </row>
    <row r="15" spans="1:12" x14ac:dyDescent="0.3">
      <c r="A15" s="57">
        <f>Beta!A15</f>
        <v>44494</v>
      </c>
      <c r="B15" s="44">
        <f>Beta!B15</f>
        <v>98.999320983886719</v>
      </c>
      <c r="C15" s="44">
        <f>Beta!C15</f>
        <v>17671.650390625</v>
      </c>
      <c r="D15" s="36">
        <v>5.2754650910946888E-2</v>
      </c>
      <c r="E15" s="36">
        <v>3.0143303263794999E-2</v>
      </c>
    </row>
    <row r="16" spans="1:12" x14ac:dyDescent="0.3">
      <c r="A16" s="57">
        <f>Beta!A16</f>
        <v>44501</v>
      </c>
      <c r="B16" s="44">
        <f>Beta!B16</f>
        <v>99.792900085449219</v>
      </c>
      <c r="C16" s="44">
        <f>Beta!C16</f>
        <v>17916.80078125</v>
      </c>
      <c r="D16" s="36">
        <v>-6.7841297258538491E-3</v>
      </c>
      <c r="E16" s="36">
        <v>1.7914510879504689E-2</v>
      </c>
    </row>
    <row r="17" spans="1:5" x14ac:dyDescent="0.3">
      <c r="A17" s="57">
        <f>Beta!A17</f>
        <v>44508</v>
      </c>
      <c r="B17" s="44">
        <f>Beta!B17</f>
        <v>101.33046722412109</v>
      </c>
      <c r="C17" s="44">
        <f>Beta!C17</f>
        <v>18102.75</v>
      </c>
      <c r="D17" s="36">
        <v>8.8390868798512656E-2</v>
      </c>
      <c r="E17" s="36">
        <v>-4.7552263119292606E-3</v>
      </c>
    </row>
    <row r="18" spans="1:5" x14ac:dyDescent="0.3">
      <c r="A18" s="57">
        <f>Beta!A18</f>
        <v>44515</v>
      </c>
      <c r="B18" s="44">
        <f>Beta!B18</f>
        <v>96.7177734375</v>
      </c>
      <c r="C18" s="44">
        <f>Beta!C18</f>
        <v>17764.80078125</v>
      </c>
      <c r="D18" s="36">
        <v>1.1704529113495621E-2</v>
      </c>
      <c r="E18" s="36">
        <v>1.548276458162356E-2</v>
      </c>
    </row>
    <row r="19" spans="1:5" x14ac:dyDescent="0.3">
      <c r="A19" s="57">
        <f>Beta!A19</f>
        <v>44522</v>
      </c>
      <c r="B19" s="44">
        <f>Beta!B19</f>
        <v>94.337028503417969</v>
      </c>
      <c r="C19" s="44">
        <f>Beta!C19</f>
        <v>17026.44921875</v>
      </c>
      <c r="D19" s="36">
        <v>4.6339746713586427E-2</v>
      </c>
      <c r="E19" s="36">
        <v>3.7018438542828269E-2</v>
      </c>
    </row>
    <row r="20" spans="1:5" x14ac:dyDescent="0.3">
      <c r="A20" s="57">
        <f>Beta!A20</f>
        <v>44529</v>
      </c>
      <c r="B20" s="44">
        <f>Beta!B20</f>
        <v>96.5689697265625</v>
      </c>
      <c r="C20" s="44">
        <f>Beta!C20</f>
        <v>17196.69921875</v>
      </c>
      <c r="D20" s="36">
        <v>-1.2948050582253351E-2</v>
      </c>
      <c r="E20" s="36">
        <v>2.6351561831465808E-3</v>
      </c>
    </row>
    <row r="21" spans="1:5" x14ac:dyDescent="0.3">
      <c r="A21" s="57">
        <f>Beta!A21</f>
        <v>44536</v>
      </c>
      <c r="B21" s="44">
        <f>Beta!B21</f>
        <v>95.924186706542969</v>
      </c>
      <c r="C21" s="44">
        <f>Beta!C21</f>
        <v>17511.30078125</v>
      </c>
      <c r="D21" s="36">
        <v>-4.6551009321664782E-3</v>
      </c>
      <c r="E21" s="36">
        <v>1.243003529945153E-2</v>
      </c>
    </row>
    <row r="22" spans="1:5" x14ac:dyDescent="0.3">
      <c r="A22" s="57">
        <f>Beta!A22</f>
        <v>44543</v>
      </c>
      <c r="B22" s="44">
        <f>Beta!B22</f>
        <v>93.741844177246094</v>
      </c>
      <c r="C22" s="44">
        <f>Beta!C22</f>
        <v>16985.19921875</v>
      </c>
      <c r="D22" s="36">
        <v>-2.208965556734666E-3</v>
      </c>
      <c r="E22" s="36">
        <v>1.5242907917802251E-2</v>
      </c>
    </row>
    <row r="23" spans="1:5" x14ac:dyDescent="0.3">
      <c r="A23" s="57">
        <f>Beta!A23</f>
        <v>44550</v>
      </c>
      <c r="B23" s="44">
        <f>Beta!B23</f>
        <v>93.841041564941406</v>
      </c>
      <c r="C23" s="44">
        <f>Beta!C23</f>
        <v>17003.75</v>
      </c>
      <c r="D23" s="36">
        <v>-3.0126818340119769E-2</v>
      </c>
      <c r="E23" s="36">
        <v>-1.7988285100337679E-2</v>
      </c>
    </row>
    <row r="24" spans="1:5" x14ac:dyDescent="0.3">
      <c r="A24" s="57">
        <f>Beta!A24</f>
        <v>44557</v>
      </c>
      <c r="B24" s="44">
        <f>Beta!B24</f>
        <v>94.535430908203125</v>
      </c>
      <c r="C24" s="44">
        <f>Beta!C24</f>
        <v>17354.05078125</v>
      </c>
      <c r="D24" s="36">
        <v>-9.6401263681430427E-3</v>
      </c>
      <c r="E24" s="36">
        <v>2.0713403242498929E-2</v>
      </c>
    </row>
    <row r="25" spans="1:5" x14ac:dyDescent="0.3">
      <c r="A25" s="57">
        <f>Beta!A25</f>
        <v>44564</v>
      </c>
      <c r="B25" s="44">
        <f>Beta!B25</f>
        <v>101.33046722412109</v>
      </c>
      <c r="C25" s="44">
        <f>Beta!C25</f>
        <v>17812.69921875</v>
      </c>
      <c r="D25" s="36">
        <v>2.9743183976067571E-3</v>
      </c>
      <c r="E25" s="36">
        <v>2.4774888341867252E-2</v>
      </c>
    </row>
    <row r="26" spans="1:5" x14ac:dyDescent="0.3">
      <c r="A26" s="57">
        <f>Beta!A26</f>
        <v>44571</v>
      </c>
      <c r="B26" s="44">
        <f>Beta!B26</f>
        <v>99.296913146972656</v>
      </c>
      <c r="C26" s="44">
        <f>Beta!C26</f>
        <v>18255.75</v>
      </c>
      <c r="D26" s="36">
        <v>-5.2595190211353622E-2</v>
      </c>
      <c r="E26" s="36">
        <v>-1.219564148185948E-2</v>
      </c>
    </row>
    <row r="27" spans="1:5" x14ac:dyDescent="0.3">
      <c r="A27" s="57">
        <f>Beta!A27</f>
        <v>44578</v>
      </c>
      <c r="B27" s="44">
        <f>Beta!B27</f>
        <v>94.58502197265625</v>
      </c>
      <c r="C27" s="44">
        <f>Beta!C27</f>
        <v>17617.150390625</v>
      </c>
      <c r="D27" s="36">
        <v>-3.8617227154518212E-3</v>
      </c>
      <c r="E27" s="36">
        <v>-2.4468806918165331E-2</v>
      </c>
    </row>
    <row r="28" spans="1:5" x14ac:dyDescent="0.3">
      <c r="A28" s="57">
        <f>Beta!A28</f>
        <v>44585</v>
      </c>
      <c r="B28" s="44">
        <f>Beta!B28</f>
        <v>93.543449401855469</v>
      </c>
      <c r="C28" s="44">
        <f>Beta!C28</f>
        <v>17101.94921875</v>
      </c>
      <c r="D28" s="36">
        <v>-1.248723403054808E-2</v>
      </c>
      <c r="E28" s="36">
        <v>1.387252379976101E-2</v>
      </c>
    </row>
    <row r="29" spans="1:5" x14ac:dyDescent="0.3">
      <c r="A29" s="57">
        <f>Beta!A29</f>
        <v>44592</v>
      </c>
      <c r="B29" s="44">
        <f>Beta!B29</f>
        <v>93.295455932617188</v>
      </c>
      <c r="C29" s="44">
        <f>Beta!C29</f>
        <v>17516.30078125</v>
      </c>
      <c r="D29" s="36">
        <v>1.6006117158498201E-2</v>
      </c>
      <c r="E29" s="36">
        <v>1.037848335873659E-2</v>
      </c>
    </row>
    <row r="30" spans="1:5" x14ac:dyDescent="0.3">
      <c r="A30" s="57">
        <f>Beta!A30</f>
        <v>44599</v>
      </c>
      <c r="B30" s="44">
        <f>Beta!B30</f>
        <v>91.5098876953125</v>
      </c>
      <c r="C30" s="44">
        <f>Beta!C30</f>
        <v>17374.75</v>
      </c>
      <c r="D30" s="36">
        <v>-3.154861684519028E-2</v>
      </c>
      <c r="E30" s="36">
        <v>-1.8668391197469991E-2</v>
      </c>
    </row>
    <row r="31" spans="1:5" x14ac:dyDescent="0.3">
      <c r="A31" s="57">
        <f>Beta!A31</f>
        <v>44606</v>
      </c>
      <c r="B31" s="44">
        <f>Beta!B31</f>
        <v>92.303474426269531</v>
      </c>
      <c r="C31" s="44">
        <f>Beta!C31</f>
        <v>17276.30078125</v>
      </c>
      <c r="D31" s="36">
        <v>-4.5639025108322739E-3</v>
      </c>
      <c r="E31" s="36">
        <v>-4.1562614272561922E-2</v>
      </c>
    </row>
    <row r="32" spans="1:5" x14ac:dyDescent="0.3">
      <c r="A32" s="57">
        <f>Beta!A32</f>
        <v>44613</v>
      </c>
      <c r="B32" s="44">
        <f>Beta!B32</f>
        <v>88.9803466796875</v>
      </c>
      <c r="C32" s="44">
        <f>Beta!C32</f>
        <v>16658.400390625</v>
      </c>
      <c r="D32" s="36">
        <v>-4.3584114935479867E-4</v>
      </c>
      <c r="E32" s="36">
        <v>9.9991488426438568E-3</v>
      </c>
    </row>
    <row r="33" spans="1:5" x14ac:dyDescent="0.3">
      <c r="A33" s="57">
        <f>Beta!A33</f>
        <v>44620</v>
      </c>
      <c r="B33" s="44">
        <f>Beta!B33</f>
        <v>87.641181945800781</v>
      </c>
      <c r="C33" s="44">
        <f>Beta!C33</f>
        <v>16245.349609375</v>
      </c>
      <c r="D33" s="36">
        <v>2.2145598817018271E-2</v>
      </c>
      <c r="E33" s="36">
        <v>1.829429930116944E-2</v>
      </c>
    </row>
    <row r="34" spans="1:5" x14ac:dyDescent="0.3">
      <c r="A34" s="57">
        <f>Beta!A34</f>
        <v>44627</v>
      </c>
      <c r="B34" s="44">
        <f>Beta!B34</f>
        <v>91.162704467773438</v>
      </c>
      <c r="C34" s="44">
        <f>Beta!C34</f>
        <v>16630.44921875</v>
      </c>
      <c r="D34" s="36">
        <v>-2.6511171232421641E-2</v>
      </c>
      <c r="E34" s="36">
        <v>-3.0043545540792471E-2</v>
      </c>
    </row>
    <row r="35" spans="1:5" x14ac:dyDescent="0.3">
      <c r="A35" s="57">
        <f>Beta!A35</f>
        <v>44634</v>
      </c>
      <c r="B35" s="44">
        <f>Beta!B35</f>
        <v>92.799461364746094</v>
      </c>
      <c r="C35" s="44">
        <f>Beta!C35</f>
        <v>17287.05078125</v>
      </c>
      <c r="D35" s="36">
        <v>1.456468163677727E-3</v>
      </c>
      <c r="E35" s="36">
        <v>1.092173309896971E-3</v>
      </c>
    </row>
    <row r="36" spans="1:5" x14ac:dyDescent="0.3">
      <c r="A36" s="57">
        <f>Beta!A36</f>
        <v>44641</v>
      </c>
      <c r="B36" s="44">
        <f>Beta!B36</f>
        <v>91.757888793945313</v>
      </c>
      <c r="C36" s="44">
        <f>Beta!C36</f>
        <v>17153</v>
      </c>
      <c r="D36" s="36">
        <v>1.827022548280843E-2</v>
      </c>
      <c r="E36" s="36">
        <v>2.0601383885907602E-2</v>
      </c>
    </row>
    <row r="37" spans="1:5" x14ac:dyDescent="0.3">
      <c r="A37" s="57">
        <f>Beta!A37</f>
        <v>44648</v>
      </c>
      <c r="B37" s="44">
        <f>Beta!B37</f>
        <v>91.212303161621094</v>
      </c>
      <c r="C37" s="44">
        <f>Beta!C37</f>
        <v>17670.44921875</v>
      </c>
      <c r="D37" s="36">
        <v>3.6425401550346681E-2</v>
      </c>
      <c r="E37" s="36">
        <v>2.642889797208281E-2</v>
      </c>
    </row>
    <row r="38" spans="1:5" x14ac:dyDescent="0.3">
      <c r="A38" s="57">
        <f>Beta!A38</f>
        <v>44655</v>
      </c>
      <c r="B38" s="44">
        <f>Beta!B38</f>
        <v>92.402679443359375</v>
      </c>
      <c r="C38" s="44">
        <f>Beta!C38</f>
        <v>17784.349609375</v>
      </c>
      <c r="D38" s="36">
        <v>-6.7695954086340882E-3</v>
      </c>
      <c r="E38" s="36">
        <v>2.487274813373808E-2</v>
      </c>
    </row>
    <row r="39" spans="1:5" x14ac:dyDescent="0.3">
      <c r="A39" s="57">
        <f>Beta!A39</f>
        <v>44662</v>
      </c>
      <c r="B39" s="44">
        <f>Beta!B39</f>
        <v>92.700263977050781</v>
      </c>
      <c r="C39" s="44">
        <f>Beta!C39</f>
        <v>17475.650390625</v>
      </c>
      <c r="D39" s="36">
        <v>-2.525558483114454E-2</v>
      </c>
      <c r="E39" s="36">
        <v>-3.4980738089369079E-2</v>
      </c>
    </row>
    <row r="40" spans="1:5" x14ac:dyDescent="0.3">
      <c r="A40" s="57">
        <f>Beta!A40</f>
        <v>44669</v>
      </c>
      <c r="B40" s="44">
        <f>Beta!B40</f>
        <v>93.890640258789063</v>
      </c>
      <c r="C40" s="44">
        <f>Beta!C40</f>
        <v>17171.94921875</v>
      </c>
      <c r="D40" s="36">
        <v>-3.0027900538235341E-2</v>
      </c>
      <c r="E40" s="36">
        <v>-2.9244296634327701E-2</v>
      </c>
    </row>
    <row r="41" spans="1:5" x14ac:dyDescent="0.3">
      <c r="A41" s="57">
        <f>Beta!A41</f>
        <v>44676</v>
      </c>
      <c r="B41" s="44">
        <f>Beta!B41</f>
        <v>90.914710998535156</v>
      </c>
      <c r="C41" s="44">
        <f>Beta!C41</f>
        <v>17102.55078125</v>
      </c>
      <c r="D41" s="36">
        <v>1.4916053616183421E-2</v>
      </c>
      <c r="E41" s="36">
        <v>2.4228323754213799E-2</v>
      </c>
    </row>
    <row r="42" spans="1:5" x14ac:dyDescent="0.3">
      <c r="A42" s="57">
        <f>Beta!A42</f>
        <v>44683</v>
      </c>
      <c r="B42" s="44">
        <f>Beta!B42</f>
        <v>88.434768676757813</v>
      </c>
      <c r="C42" s="44">
        <f>Beta!C42</f>
        <v>16411.25</v>
      </c>
      <c r="D42" s="36">
        <v>-2.2866384993344369E-2</v>
      </c>
      <c r="E42" s="36">
        <v>-8.0810887537122733E-3</v>
      </c>
    </row>
    <row r="43" spans="1:5" x14ac:dyDescent="0.3">
      <c r="A43" s="57">
        <f>Beta!A43</f>
        <v>44690</v>
      </c>
      <c r="B43" s="44">
        <f>Beta!B43</f>
        <v>83.673271179199219</v>
      </c>
      <c r="C43" s="44">
        <f>Beta!C43</f>
        <v>15782.150390625</v>
      </c>
      <c r="D43" s="36">
        <v>3.1604312517563571E-4</v>
      </c>
      <c r="E43" s="36">
        <v>-5.6662236147282394E-3</v>
      </c>
    </row>
    <row r="44" spans="1:5" x14ac:dyDescent="0.3">
      <c r="A44" s="57">
        <f>Beta!A44</f>
        <v>44697</v>
      </c>
      <c r="B44" s="44">
        <f>Beta!B44</f>
        <v>89.426742553710938</v>
      </c>
      <c r="C44" s="44">
        <f>Beta!C44</f>
        <v>16266.150390625</v>
      </c>
      <c r="D44" s="36">
        <v>-1.691729911168038E-2</v>
      </c>
      <c r="E44" s="36">
        <v>-3.5765781022729648E-2</v>
      </c>
    </row>
    <row r="45" spans="1:5" x14ac:dyDescent="0.3">
      <c r="A45" s="57">
        <f>Beta!A45</f>
        <v>44704</v>
      </c>
      <c r="B45" s="44">
        <f>Beta!B45</f>
        <v>89.972328186035156</v>
      </c>
      <c r="C45" s="44">
        <f>Beta!C45</f>
        <v>16352.4501953125</v>
      </c>
      <c r="D45" s="36">
        <v>-1.501715630747757E-2</v>
      </c>
      <c r="E45" s="36">
        <v>-2.4795344784872438E-2</v>
      </c>
    </row>
    <row r="46" spans="1:5" x14ac:dyDescent="0.3">
      <c r="A46" s="57">
        <f>Beta!A46</f>
        <v>44711</v>
      </c>
      <c r="B46" s="44">
        <f>Beta!B46</f>
        <v>88.732353210449219</v>
      </c>
      <c r="C46" s="44">
        <f>Beta!C46</f>
        <v>16584.30078125</v>
      </c>
      <c r="D46" s="36">
        <v>-5.0854994974688927E-2</v>
      </c>
      <c r="E46" s="36">
        <v>2.3705221410117439E-2</v>
      </c>
    </row>
    <row r="47" spans="1:5" x14ac:dyDescent="0.3">
      <c r="A47" s="57">
        <f>Beta!A47</f>
        <v>44718</v>
      </c>
      <c r="B47" s="44">
        <f>Beta!B47</f>
        <v>87.78997802734375</v>
      </c>
      <c r="C47" s="44">
        <f>Beta!C47</f>
        <v>16201.7998046875</v>
      </c>
      <c r="D47" s="36">
        <v>4.8767208656871119E-2</v>
      </c>
      <c r="E47" s="36">
        <v>3.9481889747134069E-2</v>
      </c>
    </row>
    <row r="48" spans="1:5" x14ac:dyDescent="0.3">
      <c r="A48" s="57">
        <f>Beta!A48</f>
        <v>44725</v>
      </c>
      <c r="B48" s="44">
        <f>Beta!B48</f>
        <v>84.367660522460938</v>
      </c>
      <c r="C48" s="44">
        <f>Beta!C48</f>
        <v>15293.5</v>
      </c>
      <c r="D48" s="36">
        <v>-7.7906527339344556E-2</v>
      </c>
      <c r="E48" s="36">
        <v>-7.7544043195265644E-3</v>
      </c>
    </row>
    <row r="49" spans="1:5" x14ac:dyDescent="0.3">
      <c r="A49" s="57">
        <f>Beta!A49</f>
        <v>44732</v>
      </c>
      <c r="B49" s="44">
        <f>Beta!B49</f>
        <v>84.913246154785156</v>
      </c>
      <c r="C49" s="44">
        <f>Beta!C49</f>
        <v>15699.25</v>
      </c>
      <c r="D49" s="36">
        <v>4.3997517821077858E-2</v>
      </c>
      <c r="E49" s="36">
        <v>3.0166689136011279E-2</v>
      </c>
    </row>
    <row r="50" spans="1:5" x14ac:dyDescent="0.3">
      <c r="A50" s="57">
        <f>Beta!A50</f>
        <v>44739</v>
      </c>
      <c r="B50" s="44">
        <f>Beta!B50</f>
        <v>84.31805419921875</v>
      </c>
      <c r="C50" s="44">
        <f>Beta!C50</f>
        <v>15752.0498046875</v>
      </c>
      <c r="D50" s="36">
        <v>3.6292875614675417E-2</v>
      </c>
      <c r="E50" s="36">
        <v>6.4458118305301682E-3</v>
      </c>
    </row>
    <row r="51" spans="1:5" x14ac:dyDescent="0.3">
      <c r="A51" s="57">
        <f>Beta!A51</f>
        <v>44746</v>
      </c>
      <c r="B51" s="44">
        <f>Beta!B51</f>
        <v>85.508430480957031</v>
      </c>
      <c r="C51" s="44">
        <f>Beta!C51</f>
        <v>16220.599609375</v>
      </c>
      <c r="D51" s="36">
        <v>5.2285492417514234E-4</v>
      </c>
      <c r="E51" s="36">
        <v>-1.735791443209533E-2</v>
      </c>
    </row>
    <row r="52" spans="1:5" x14ac:dyDescent="0.3">
      <c r="A52" s="57">
        <f>Beta!A52</f>
        <v>44753</v>
      </c>
      <c r="B52" s="44">
        <f>Beta!B52</f>
        <v>83.970863342285156</v>
      </c>
      <c r="C52" s="44">
        <f>Beta!C52</f>
        <v>16049.2001953125</v>
      </c>
      <c r="D52" s="36">
        <v>4.313853027614778E-3</v>
      </c>
      <c r="E52" s="36">
        <v>-1.7378533278390781E-2</v>
      </c>
    </row>
    <row r="53" spans="1:5" x14ac:dyDescent="0.3">
      <c r="A53" s="57">
        <f>Beta!A53</f>
        <v>44760</v>
      </c>
      <c r="B53" s="44">
        <f>Beta!B53</f>
        <v>89.327545166015625</v>
      </c>
      <c r="C53" s="44">
        <f>Beta!C53</f>
        <v>16719.44921875</v>
      </c>
      <c r="D53" s="36">
        <v>-2.5222166265098319E-2</v>
      </c>
      <c r="E53" s="36">
        <v>-4.0413838065759267E-3</v>
      </c>
    </row>
    <row r="54" spans="1:5" x14ac:dyDescent="0.3">
      <c r="A54" s="57">
        <f>Beta!A54</f>
        <v>44767</v>
      </c>
      <c r="B54" s="44">
        <f>Beta!B54</f>
        <v>86.550010681152344</v>
      </c>
      <c r="C54" s="44">
        <f>Beta!C54</f>
        <v>17158.25</v>
      </c>
      <c r="D54" s="36">
        <v>8.7062789644363203E-3</v>
      </c>
      <c r="E54" s="36">
        <v>-4.0420916744646762E-2</v>
      </c>
    </row>
    <row r="55" spans="1:5" x14ac:dyDescent="0.3">
      <c r="A55" s="57">
        <f>Beta!A55</f>
        <v>44774</v>
      </c>
      <c r="B55" s="44">
        <f>Beta!B55</f>
        <v>95.329002380371094</v>
      </c>
      <c r="C55" s="44">
        <f>Beta!C55</f>
        <v>17397.5</v>
      </c>
      <c r="D55" s="36">
        <v>-8.8579534419590544E-3</v>
      </c>
      <c r="E55" s="36">
        <v>-3.8333436476502447E-2</v>
      </c>
    </row>
    <row r="56" spans="1:5" x14ac:dyDescent="0.3">
      <c r="A56" s="57">
        <f>Beta!A56</f>
        <v>44781</v>
      </c>
      <c r="B56" s="44">
        <f>Beta!B56</f>
        <v>90.617111206054688</v>
      </c>
      <c r="C56" s="44">
        <f>Beta!C56</f>
        <v>17698.150390625</v>
      </c>
      <c r="D56" s="36">
        <v>5.2386746410314038E-2</v>
      </c>
      <c r="E56" s="36">
        <v>3.0667557209916652E-2</v>
      </c>
    </row>
    <row r="57" spans="1:5" x14ac:dyDescent="0.3">
      <c r="A57" s="57">
        <f>Beta!A57</f>
        <v>44788</v>
      </c>
      <c r="B57" s="44">
        <f>Beta!B57</f>
        <v>94.634620666503906</v>
      </c>
      <c r="C57" s="44">
        <f>Beta!C57</f>
        <v>17758.44921875</v>
      </c>
      <c r="D57" s="36">
        <v>3.111385822617074E-2</v>
      </c>
      <c r="E57" s="36">
        <v>5.3054842488877707E-3</v>
      </c>
    </row>
    <row r="58" spans="1:5" x14ac:dyDescent="0.3">
      <c r="A58" s="57">
        <f>Beta!A58</f>
        <v>44795</v>
      </c>
      <c r="B58" s="44">
        <f>Beta!B58</f>
        <v>93.097053527832031</v>
      </c>
      <c r="C58" s="44">
        <f>Beta!C58</f>
        <v>17558.900390625</v>
      </c>
      <c r="D58" s="36">
        <v>-7.7581587027401033E-3</v>
      </c>
      <c r="E58" s="36">
        <v>1.4178339219401041E-2</v>
      </c>
    </row>
    <row r="59" spans="1:5" x14ac:dyDescent="0.3">
      <c r="A59" s="57">
        <f>Beta!A59</f>
        <v>44802</v>
      </c>
      <c r="B59" s="44">
        <f>Beta!B59</f>
        <v>92.749862670898438</v>
      </c>
      <c r="C59" s="44">
        <f>Beta!C59</f>
        <v>17539.44921875</v>
      </c>
      <c r="D59" s="36">
        <v>-4.7917748105114177E-2</v>
      </c>
      <c r="E59" s="36">
        <v>-2.306403999829465E-2</v>
      </c>
    </row>
    <row r="60" spans="1:5" x14ac:dyDescent="0.3">
      <c r="A60" s="57">
        <f>Beta!A60</f>
        <v>44809</v>
      </c>
      <c r="B60" s="44">
        <f>Beta!B60</f>
        <v>101.28086853027339</v>
      </c>
      <c r="C60" s="44">
        <f>Beta!C60</f>
        <v>17833.349609375</v>
      </c>
      <c r="D60" s="36">
        <v>-8.5544448447083532E-3</v>
      </c>
      <c r="E60" s="36">
        <v>-5.6061660780718392E-2</v>
      </c>
    </row>
    <row r="61" spans="1:5" x14ac:dyDescent="0.3">
      <c r="A61" s="57">
        <f>Beta!A61</f>
        <v>44816</v>
      </c>
      <c r="B61" s="44">
        <f>Beta!B61</f>
        <v>102.6200332641602</v>
      </c>
      <c r="C61" s="44">
        <f>Beta!C61</f>
        <v>17530.849609375</v>
      </c>
      <c r="D61" s="36">
        <v>4.1190255207961712E-2</v>
      </c>
      <c r="E61" s="36">
        <v>2.6530879131657189E-2</v>
      </c>
    </row>
    <row r="62" spans="1:5" x14ac:dyDescent="0.3">
      <c r="A62" s="57">
        <f>Beta!A62</f>
        <v>44823</v>
      </c>
      <c r="B62" s="44">
        <f>Beta!B62</f>
        <v>101.13206481933589</v>
      </c>
      <c r="C62" s="44">
        <f>Beta!C62</f>
        <v>17327.349609375</v>
      </c>
      <c r="D62" s="36">
        <v>5.0967846648625859E-2</v>
      </c>
      <c r="E62" s="36">
        <v>3.3632055472394562E-3</v>
      </c>
    </row>
    <row r="63" spans="1:5" x14ac:dyDescent="0.3">
      <c r="A63" s="57">
        <f>Beta!A63</f>
        <v>44830</v>
      </c>
      <c r="B63" s="44">
        <f>Beta!B63</f>
        <v>105.0503845214844</v>
      </c>
      <c r="C63" s="44">
        <f>Beta!C63</f>
        <v>17094.349609375</v>
      </c>
      <c r="D63" s="36">
        <v>6.4893218924047424E-2</v>
      </c>
      <c r="E63" s="36">
        <v>2.974532270384711E-2</v>
      </c>
    </row>
    <row r="64" spans="1:5" x14ac:dyDescent="0.3">
      <c r="A64" s="57">
        <f>Beta!A64</f>
        <v>44837</v>
      </c>
      <c r="B64" s="44">
        <f>Beta!B64</f>
        <v>106.48874664306641</v>
      </c>
      <c r="C64" s="44">
        <f>Beta!C64</f>
        <v>17314.650390625</v>
      </c>
      <c r="D64" s="36">
        <v>8.3705478236943964E-3</v>
      </c>
      <c r="E64" s="36">
        <v>-1.0566774237090289E-2</v>
      </c>
    </row>
    <row r="65" spans="1:5" x14ac:dyDescent="0.3">
      <c r="A65" s="57">
        <f>Beta!A65</f>
        <v>44844</v>
      </c>
      <c r="B65" s="44">
        <f>Beta!B65</f>
        <v>108.6710968017578</v>
      </c>
      <c r="C65" s="44">
        <f>Beta!C65</f>
        <v>17185.69921875</v>
      </c>
      <c r="D65" s="36">
        <v>5.8589158909891914E-3</v>
      </c>
      <c r="E65" s="36">
        <v>4.1762144859608608E-2</v>
      </c>
    </row>
    <row r="66" spans="1:5" x14ac:dyDescent="0.3">
      <c r="A66" s="57">
        <f>Beta!A66</f>
        <v>44851</v>
      </c>
      <c r="B66" s="44">
        <f>Beta!B66</f>
        <v>101.8264541625977</v>
      </c>
      <c r="C66" s="44">
        <f>Beta!C66</f>
        <v>17576.30078125</v>
      </c>
      <c r="D66" s="36">
        <v>7.4777669195724714E-3</v>
      </c>
      <c r="E66" s="36">
        <v>2.62449304106207E-2</v>
      </c>
    </row>
    <row r="67" spans="1:5" x14ac:dyDescent="0.3">
      <c r="A67" s="57">
        <f>Beta!A67</f>
        <v>44858</v>
      </c>
      <c r="B67" s="44">
        <f>Beta!B67</f>
        <v>102.9672317504883</v>
      </c>
      <c r="C67" s="44">
        <f>Beta!C67</f>
        <v>17786.80078125</v>
      </c>
      <c r="D67" s="36">
        <v>-5.4430313248030382E-2</v>
      </c>
      <c r="E67" s="36">
        <v>1.3943729692713401E-2</v>
      </c>
    </row>
    <row r="68" spans="1:5" x14ac:dyDescent="0.3">
      <c r="A68" s="57">
        <f>Beta!A68</f>
        <v>44865</v>
      </c>
      <c r="B68" s="44">
        <f>Beta!B68</f>
        <v>104.1079940795898</v>
      </c>
      <c r="C68" s="44">
        <f>Beta!C68</f>
        <v>18117.150390625</v>
      </c>
      <c r="D68" s="36">
        <v>-7.6869193219673004E-3</v>
      </c>
      <c r="E68" s="36">
        <v>1.7281241018824559E-2</v>
      </c>
    </row>
    <row r="69" spans="1:5" x14ac:dyDescent="0.3">
      <c r="A69" s="57">
        <f>Beta!A69</f>
        <v>44872</v>
      </c>
      <c r="B69" s="44">
        <f>Beta!B69</f>
        <v>105.8439636230469</v>
      </c>
      <c r="C69" s="44">
        <f>Beta!C69</f>
        <v>18349.69921875</v>
      </c>
      <c r="D69" s="36">
        <v>7.6517588982860651E-4</v>
      </c>
      <c r="E69" s="36">
        <v>3.407069484331116E-3</v>
      </c>
    </row>
    <row r="70" spans="1:5" x14ac:dyDescent="0.3">
      <c r="A70" s="57">
        <f>Beta!A70</f>
        <v>44879</v>
      </c>
      <c r="B70" s="44">
        <f>Beta!B70</f>
        <v>102.8184280395508</v>
      </c>
      <c r="C70" s="44">
        <f>Beta!C70</f>
        <v>18307.650390625</v>
      </c>
      <c r="D70" s="36">
        <v>-3.3856873019677551E-3</v>
      </c>
      <c r="E70" s="36">
        <v>-1.1236838626331741E-2</v>
      </c>
    </row>
    <row r="71" spans="1:5" x14ac:dyDescent="0.3">
      <c r="A71" s="57">
        <f>Beta!A71</f>
        <v>44886</v>
      </c>
      <c r="B71" s="44">
        <f>Beta!B71</f>
        <v>101.628059387207</v>
      </c>
      <c r="C71" s="44">
        <f>Beta!C71</f>
        <v>18512.75</v>
      </c>
      <c r="D71" s="36">
        <v>1.4821298817400351E-2</v>
      </c>
      <c r="E71" s="36">
        <v>-1.107767083489253E-3</v>
      </c>
    </row>
    <row r="72" spans="1:5" x14ac:dyDescent="0.3">
      <c r="A72" s="57">
        <f>Beta!A72</f>
        <v>44893</v>
      </c>
      <c r="B72" s="44">
        <f>Beta!B72</f>
        <v>105.69516754150391</v>
      </c>
      <c r="C72" s="44">
        <f>Beta!C72</f>
        <v>18696.099609375</v>
      </c>
      <c r="D72" s="36">
        <v>-1.4780347122260279E-2</v>
      </c>
      <c r="E72" s="36">
        <v>1.675653476682815E-2</v>
      </c>
    </row>
    <row r="73" spans="1:5" x14ac:dyDescent="0.3">
      <c r="A73" s="57">
        <f>Beta!A73</f>
        <v>44900</v>
      </c>
      <c r="B73" s="44">
        <f>Beta!B73</f>
        <v>117.4996871948242</v>
      </c>
      <c r="C73" s="44">
        <f>Beta!C73</f>
        <v>18496.599609375</v>
      </c>
      <c r="D73" s="36">
        <v>-2.7264198759234799E-3</v>
      </c>
      <c r="E73" s="36">
        <v>-1.6962601341083738E-2</v>
      </c>
    </row>
    <row r="74" spans="1:5" x14ac:dyDescent="0.3">
      <c r="A74" s="57">
        <f>Beta!A74</f>
        <v>44907</v>
      </c>
      <c r="B74" s="44">
        <f>Beta!B74</f>
        <v>114.424560546875</v>
      </c>
      <c r="C74" s="44">
        <f>Beta!C74</f>
        <v>18269</v>
      </c>
      <c r="D74" s="36">
        <v>4.3178424568421692E-2</v>
      </c>
      <c r="E74" s="36">
        <v>-1.160810825113545E-2</v>
      </c>
    </row>
    <row r="75" spans="1:5" x14ac:dyDescent="0.3">
      <c r="A75" s="57">
        <f>Beta!A75</f>
        <v>44914</v>
      </c>
      <c r="B75" s="44">
        <f>Beta!B75</f>
        <v>101.925651550293</v>
      </c>
      <c r="C75" s="44">
        <f>Beta!C75</f>
        <v>17806.80078125</v>
      </c>
      <c r="D75" s="36">
        <v>1.220798713337712E-2</v>
      </c>
      <c r="E75" s="36">
        <v>-1.3446949778974541E-2</v>
      </c>
    </row>
    <row r="76" spans="1:5" x14ac:dyDescent="0.3">
      <c r="A76" s="57">
        <f>Beta!A76</f>
        <v>44921</v>
      </c>
      <c r="B76" s="44">
        <f>Beta!B76</f>
        <v>111.54782867431641</v>
      </c>
      <c r="C76" s="44">
        <f>Beta!C76</f>
        <v>18105.30078125</v>
      </c>
      <c r="D76" s="36">
        <v>-1.493601041107406E-2</v>
      </c>
      <c r="E76" s="36">
        <v>1.2887345016576729E-2</v>
      </c>
    </row>
    <row r="77" spans="1:5" x14ac:dyDescent="0.3">
      <c r="A77" s="57">
        <f>Beta!A77</f>
        <v>44928</v>
      </c>
      <c r="B77" s="44">
        <f>Beta!B77</f>
        <v>114.1765670776367</v>
      </c>
      <c r="C77" s="44">
        <f>Beta!C77</f>
        <v>17859.44921875</v>
      </c>
      <c r="D77" s="36">
        <v>2.8000344416623251E-3</v>
      </c>
      <c r="E77" s="36">
        <v>-7.4475180824222784E-3</v>
      </c>
    </row>
    <row r="78" spans="1:5" x14ac:dyDescent="0.3">
      <c r="A78" s="57">
        <f>Beta!A78</f>
        <v>44935</v>
      </c>
      <c r="B78" s="44">
        <f>Beta!B78</f>
        <v>114.8213577270508</v>
      </c>
      <c r="C78" s="44">
        <f>Beta!C78</f>
        <v>17956.599609375</v>
      </c>
      <c r="D78" s="36">
        <v>-9.3510239032146281E-4</v>
      </c>
      <c r="E78" s="36">
        <v>2.2728290395880091E-2</v>
      </c>
    </row>
    <row r="79" spans="1:5" x14ac:dyDescent="0.3">
      <c r="A79" s="57">
        <f>Beta!A79</f>
        <v>44942</v>
      </c>
      <c r="B79" s="44">
        <f>Beta!B79</f>
        <v>113.7301788330078</v>
      </c>
      <c r="C79" s="44">
        <f>Beta!C79</f>
        <v>18027.650390625</v>
      </c>
      <c r="D79" s="36">
        <v>-3.9549741609967706E-3</v>
      </c>
      <c r="E79" s="36">
        <v>1.197635399051422E-2</v>
      </c>
    </row>
    <row r="80" spans="1:5" x14ac:dyDescent="0.3">
      <c r="A80" s="57">
        <f>Beta!A80</f>
        <v>44949</v>
      </c>
      <c r="B80" s="44">
        <f>Beta!B80</f>
        <v>103.31443023681641</v>
      </c>
      <c r="C80" s="44">
        <f>Beta!C80</f>
        <v>17604.349609375</v>
      </c>
      <c r="D80" s="36">
        <v>7.0148174019013521E-3</v>
      </c>
      <c r="E80" s="36">
        <v>1.857273904609302E-2</v>
      </c>
    </row>
    <row r="81" spans="1:5" x14ac:dyDescent="0.3">
      <c r="A81" s="57">
        <f>Beta!A81</f>
        <v>44956</v>
      </c>
      <c r="B81" s="44">
        <f>Beta!B81</f>
        <v>110.75424957275391</v>
      </c>
      <c r="C81" s="44">
        <f>Beta!C81</f>
        <v>17854.05078125</v>
      </c>
      <c r="D81" s="36">
        <v>7.7401325889138617E-2</v>
      </c>
      <c r="E81" s="36">
        <v>1.2835839141973169E-2</v>
      </c>
    </row>
    <row r="82" spans="1:5" x14ac:dyDescent="0.3">
      <c r="A82" s="57">
        <f>Beta!A82</f>
        <v>44963</v>
      </c>
      <c r="B82" s="44">
        <f>Beta!B82</f>
        <v>111.9446182250977</v>
      </c>
      <c r="C82" s="44">
        <f>Beta!C82</f>
        <v>17856.5</v>
      </c>
      <c r="D82" s="36">
        <v>1.8054065817905141E-3</v>
      </c>
      <c r="E82" s="36">
        <v>-2.2915268323326909E-3</v>
      </c>
    </row>
    <row r="83" spans="1:5" x14ac:dyDescent="0.3">
      <c r="A83" s="57">
        <f>Beta!A83</f>
        <v>44970</v>
      </c>
      <c r="B83" s="44">
        <f>Beta!B83</f>
        <v>112.688606262207</v>
      </c>
      <c r="C83" s="44">
        <f>Beta!C83</f>
        <v>17944.19921875</v>
      </c>
      <c r="D83" s="36">
        <v>1.8911216578938239E-2</v>
      </c>
      <c r="E83" s="36">
        <v>1.120294548993717E-2</v>
      </c>
    </row>
    <row r="84" spans="1:5" x14ac:dyDescent="0.3">
      <c r="A84" s="57">
        <f>Beta!A84</f>
        <v>44977</v>
      </c>
      <c r="B84" s="44">
        <f>Beta!B84</f>
        <v>112.39101409912109</v>
      </c>
      <c r="C84" s="44">
        <f>Beta!C84</f>
        <v>17465.80078125</v>
      </c>
      <c r="D84" s="36">
        <v>5.9564379050667027E-2</v>
      </c>
      <c r="E84" s="36">
        <v>9.9039639910332156E-3</v>
      </c>
    </row>
    <row r="85" spans="1:5" x14ac:dyDescent="0.3">
      <c r="A85" s="57">
        <f>Beta!A85</f>
        <v>44984</v>
      </c>
      <c r="B85" s="44">
        <f>Beta!B85</f>
        <v>112.83740234375</v>
      </c>
      <c r="C85" s="44">
        <f>Beta!C85</f>
        <v>17594.349609375</v>
      </c>
      <c r="D85" s="36">
        <v>-5.0981454515683922E-3</v>
      </c>
      <c r="E85" s="36">
        <v>-1.0670674855624011E-2</v>
      </c>
    </row>
    <row r="86" spans="1:5" x14ac:dyDescent="0.3">
      <c r="A86" s="57">
        <f>Beta!A86</f>
        <v>44991</v>
      </c>
      <c r="B86" s="44">
        <f>Beta!B86</f>
        <v>110.3574600219727</v>
      </c>
      <c r="C86" s="44">
        <f>Beta!C86</f>
        <v>17412.900390625</v>
      </c>
      <c r="D86" s="36">
        <v>7.7998971401493922E-3</v>
      </c>
      <c r="E86" s="36">
        <v>-1.2304943296693399E-2</v>
      </c>
    </row>
    <row r="87" spans="1:5" x14ac:dyDescent="0.3">
      <c r="A87" s="57">
        <f>Beta!A87</f>
        <v>44998</v>
      </c>
      <c r="B87" s="44">
        <f>Beta!B87</f>
        <v>106.33995056152339</v>
      </c>
      <c r="C87" s="44">
        <f>Beta!C87</f>
        <v>17100.05078125</v>
      </c>
      <c r="D87" s="36">
        <v>-2.5378441541373808E-2</v>
      </c>
      <c r="E87" s="36">
        <v>-2.5299645232360831E-2</v>
      </c>
    </row>
    <row r="88" spans="1:5" x14ac:dyDescent="0.3">
      <c r="A88" s="57">
        <f>Beta!A88</f>
        <v>45005</v>
      </c>
      <c r="B88" s="44">
        <f>Beta!B88</f>
        <v>114.02777099609381</v>
      </c>
      <c r="C88" s="44">
        <f>Beta!C88</f>
        <v>16945.05078125</v>
      </c>
      <c r="D88" s="36">
        <v>-5.644249769789389E-3</v>
      </c>
      <c r="E88" s="36">
        <v>1.676325824424962E-2</v>
      </c>
    </row>
    <row r="89" spans="1:5" x14ac:dyDescent="0.3">
      <c r="A89" s="57">
        <f>Beta!A89</f>
        <v>45012</v>
      </c>
      <c r="B89" s="44">
        <f>Beta!B89</f>
        <v>110.9526443481445</v>
      </c>
      <c r="C89" s="44">
        <f>Beta!C89</f>
        <v>17359.75</v>
      </c>
      <c r="D89" s="36">
        <v>1.197902818074903E-2</v>
      </c>
      <c r="E89" s="36">
        <v>-1.3578982501887269E-2</v>
      </c>
    </row>
    <row r="90" spans="1:5" x14ac:dyDescent="0.3">
      <c r="A90" s="57">
        <f>Beta!A90</f>
        <v>45019</v>
      </c>
      <c r="B90" s="44">
        <f>Beta!B90</f>
        <v>113.38299560546881</v>
      </c>
      <c r="C90" s="44">
        <f>Beta!C90</f>
        <v>17599.150390625</v>
      </c>
      <c r="D90" s="36">
        <v>-5.2647327800826593E-3</v>
      </c>
      <c r="E90" s="36">
        <v>5.4397193012540868E-3</v>
      </c>
    </row>
    <row r="91" spans="1:5" x14ac:dyDescent="0.3">
      <c r="A91" s="57">
        <f>Beta!A91</f>
        <v>45026</v>
      </c>
      <c r="B91" s="44">
        <f>Beta!B91</f>
        <v>114.22617340087891</v>
      </c>
      <c r="C91" s="44">
        <f>Beta!C91</f>
        <v>17828</v>
      </c>
      <c r="D91" s="36">
        <v>-3.9551064967026086E-3</v>
      </c>
      <c r="E91" s="36">
        <v>3.9568060098029711E-3</v>
      </c>
    </row>
    <row r="92" spans="1:5" x14ac:dyDescent="0.3">
      <c r="A92" s="57">
        <f>Beta!A92</f>
        <v>45033</v>
      </c>
      <c r="B92" s="44">
        <f>Beta!B92</f>
        <v>110.3574600219727</v>
      </c>
      <c r="C92" s="44">
        <f>Beta!C92</f>
        <v>17624.05078125</v>
      </c>
      <c r="D92" s="36">
        <v>1.4227934681178001E-2</v>
      </c>
      <c r="E92" s="36">
        <v>-2.348064068682687E-2</v>
      </c>
    </row>
    <row r="93" spans="1:5" x14ac:dyDescent="0.3">
      <c r="A93" s="57">
        <f>Beta!A93</f>
        <v>45040</v>
      </c>
      <c r="B93" s="44">
        <f>Beta!B93</f>
        <v>115.5653381347656</v>
      </c>
      <c r="C93" s="44">
        <f>Beta!C93</f>
        <v>18065</v>
      </c>
      <c r="D93" s="36">
        <v>5.6718675328480517E-2</v>
      </c>
      <c r="E93" s="36">
        <v>1.4184061178950101E-2</v>
      </c>
    </row>
    <row r="94" spans="1:5" x14ac:dyDescent="0.3">
      <c r="A94" s="57">
        <f>Beta!A94</f>
        <v>45047</v>
      </c>
      <c r="B94" s="44">
        <f>Beta!B94</f>
        <v>126.1794891357422</v>
      </c>
      <c r="C94" s="44">
        <f>Beta!C94</f>
        <v>18069</v>
      </c>
      <c r="D94" s="36">
        <v>-1.3286610331997299E-3</v>
      </c>
      <c r="E94" s="36">
        <v>1.3718000357498819E-4</v>
      </c>
    </row>
    <row r="95" spans="1:5" x14ac:dyDescent="0.3">
      <c r="A95" s="57">
        <f>Beta!A95</f>
        <v>45054</v>
      </c>
      <c r="B95" s="44">
        <f>Beta!B95</f>
        <v>123.9475479125977</v>
      </c>
      <c r="C95" s="44">
        <f>Beta!C95</f>
        <v>18314.80078125</v>
      </c>
      <c r="D95" s="36">
        <v>-1.935031723105873E-2</v>
      </c>
      <c r="E95" s="36">
        <v>4.9113330579901859E-3</v>
      </c>
    </row>
    <row r="96" spans="1:5" x14ac:dyDescent="0.3">
      <c r="A96" s="57">
        <f>Beta!A96</f>
        <v>45061</v>
      </c>
      <c r="B96" s="44">
        <f>Beta!B96</f>
        <v>122.0131912231445</v>
      </c>
      <c r="C96" s="44">
        <f>Beta!C96</f>
        <v>18203.400390625</v>
      </c>
      <c r="D96" s="36">
        <v>-2.0007726762257261E-2</v>
      </c>
      <c r="E96" s="36">
        <v>-2.6660339180815559E-2</v>
      </c>
    </row>
    <row r="97" spans="1:5" x14ac:dyDescent="0.3">
      <c r="A97" s="57">
        <f>Beta!A97</f>
        <v>45068</v>
      </c>
      <c r="B97" s="44">
        <f>Beta!B97</f>
        <v>130.84178161621091</v>
      </c>
      <c r="C97" s="44">
        <f>Beta!C97</f>
        <v>18499.349609375</v>
      </c>
      <c r="D97" s="36">
        <v>-6.8878200788909938E-3</v>
      </c>
      <c r="E97" s="36">
        <v>7.3600305955052736E-3</v>
      </c>
    </row>
    <row r="98" spans="1:5" x14ac:dyDescent="0.3">
      <c r="A98" s="57">
        <f>Beta!A98</f>
        <v>45075</v>
      </c>
      <c r="B98" s="44">
        <f>Beta!B98</f>
        <v>140.26556396484381</v>
      </c>
      <c r="C98" s="44">
        <f>Beta!C98</f>
        <v>18534.099609375</v>
      </c>
      <c r="D98" s="36">
        <v>-2.2881108326718299E-2</v>
      </c>
      <c r="E98" s="36">
        <v>-1.031292561410257E-2</v>
      </c>
    </row>
    <row r="99" spans="1:5" x14ac:dyDescent="0.3">
      <c r="A99" s="57">
        <f>Beta!A99</f>
        <v>45082</v>
      </c>
      <c r="B99" s="44">
        <f>Beta!B99</f>
        <v>140.51356506347659</v>
      </c>
      <c r="C99" s="44">
        <f>Beta!C99</f>
        <v>18563.400390625</v>
      </c>
      <c r="D99" s="36">
        <v>1.195781422752407E-2</v>
      </c>
      <c r="E99" s="36">
        <v>-1.7966542181762971E-2</v>
      </c>
    </row>
    <row r="100" spans="1:5" x14ac:dyDescent="0.3">
      <c r="A100" s="57">
        <f>Beta!A100</f>
        <v>45089</v>
      </c>
      <c r="B100" s="44">
        <f>Beta!B100</f>
        <v>146.21742248535159</v>
      </c>
      <c r="C100" s="44">
        <f>Beta!C100</f>
        <v>18826</v>
      </c>
      <c r="D100" s="36">
        <v>-3.727174700302105E-2</v>
      </c>
      <c r="E100" s="36">
        <v>-9.0643005674553301E-3</v>
      </c>
    </row>
    <row r="101" spans="1:5" x14ac:dyDescent="0.3">
      <c r="A101" s="57">
        <f>Beta!A101</f>
        <v>45096</v>
      </c>
      <c r="B101" s="44">
        <f>Beta!B101</f>
        <v>141.5551452636719</v>
      </c>
      <c r="C101" s="44">
        <f>Beta!C101</f>
        <v>18665.5</v>
      </c>
      <c r="D101" s="36">
        <v>2.9095622319055051E-2</v>
      </c>
      <c r="E101" s="36">
        <v>2.447317651056391E-2</v>
      </c>
    </row>
    <row r="102" spans="1:5" x14ac:dyDescent="0.3">
      <c r="A102" s="57">
        <f>Beta!A102</f>
        <v>45103</v>
      </c>
      <c r="B102" s="44">
        <f>Beta!B102</f>
        <v>139.76957702636719</v>
      </c>
      <c r="C102" s="44">
        <f>Beta!C102</f>
        <v>19189.05078125</v>
      </c>
      <c r="D102" s="36">
        <v>-5.1712290036014519E-3</v>
      </c>
      <c r="E102" s="36">
        <v>1.379054367862431E-2</v>
      </c>
    </row>
    <row r="103" spans="1:5" x14ac:dyDescent="0.3">
      <c r="A103" s="57">
        <f>Beta!A103</f>
        <v>45110</v>
      </c>
      <c r="B103" s="44">
        <f>Beta!B103</f>
        <v>147.606201171875</v>
      </c>
      <c r="C103" s="44">
        <f>Beta!C103</f>
        <v>19331.80078125</v>
      </c>
      <c r="D103" s="36">
        <v>-8.2792194513854334E-3</v>
      </c>
      <c r="E103" s="36">
        <v>1.300344643323847E-2</v>
      </c>
    </row>
    <row r="104" spans="1:5" x14ac:dyDescent="0.3">
      <c r="A104" s="57">
        <f>Beta!A104</f>
        <v>45117</v>
      </c>
      <c r="B104" s="44">
        <f>Beta!B104</f>
        <v>141.90232849121091</v>
      </c>
      <c r="C104" s="44">
        <f>Beta!C104</f>
        <v>19564.5</v>
      </c>
      <c r="D104" s="36">
        <v>3.2316060970001281E-2</v>
      </c>
      <c r="E104" s="36">
        <v>-1.1439826046107269E-2</v>
      </c>
    </row>
    <row r="105" spans="1:5" x14ac:dyDescent="0.3">
      <c r="A105" s="57">
        <f>Beta!A105</f>
        <v>45124</v>
      </c>
      <c r="B105" s="44">
        <f>Beta!B105</f>
        <v>141.85273742675781</v>
      </c>
      <c r="C105" s="44">
        <f>Beta!C105</f>
        <v>19745</v>
      </c>
      <c r="D105" s="36">
        <v>5.2162906884232862E-2</v>
      </c>
      <c r="E105" s="36">
        <v>2.5019742862924629E-2</v>
      </c>
    </row>
    <row r="106" spans="1:5" x14ac:dyDescent="0.3">
      <c r="A106" s="57">
        <f>Beta!A106</f>
        <v>45131</v>
      </c>
      <c r="B106" s="44">
        <f>Beta!B106</f>
        <v>140.9599609375</v>
      </c>
      <c r="C106" s="44">
        <f>Beta!C106</f>
        <v>19646.05078125</v>
      </c>
      <c r="D106" s="36">
        <v>1.5910614603834809E-2</v>
      </c>
      <c r="E106" s="36">
        <v>2.2142264046509649E-4</v>
      </c>
    </row>
    <row r="107" spans="1:5" x14ac:dyDescent="0.3">
      <c r="A107" s="57">
        <f>Beta!A107</f>
        <v>45138</v>
      </c>
      <c r="B107" s="44">
        <f>Beta!B107</f>
        <v>165.4617919921875</v>
      </c>
      <c r="C107" s="44">
        <f>Beta!C107</f>
        <v>19517</v>
      </c>
      <c r="D107" s="36">
        <v>-2.0535480222806379E-3</v>
      </c>
      <c r="E107" s="36">
        <v>1.360345239083505E-2</v>
      </c>
    </row>
    <row r="108" spans="1:5" x14ac:dyDescent="0.3">
      <c r="A108" s="57">
        <f>Beta!A108</f>
        <v>45145</v>
      </c>
      <c r="B108" s="44">
        <f>Beta!B108</f>
        <v>158.17076110839841</v>
      </c>
      <c r="C108" s="44">
        <f>Beta!C108</f>
        <v>19428.30078125</v>
      </c>
      <c r="D108" s="36">
        <v>-2.5268054964714289E-2</v>
      </c>
      <c r="E108" s="36">
        <v>-6.0825335724671303E-3</v>
      </c>
    </row>
    <row r="109" spans="1:5" x14ac:dyDescent="0.3">
      <c r="A109" s="57">
        <f>Beta!A109</f>
        <v>45152</v>
      </c>
      <c r="B109" s="44">
        <f>Beta!B109</f>
        <v>155.39320373535159</v>
      </c>
      <c r="C109" s="44">
        <f>Beta!C109</f>
        <v>19310.150390625</v>
      </c>
      <c r="D109" s="36">
        <v>2.1411857360302381E-2</v>
      </c>
      <c r="E109" s="36">
        <v>1.6257908544516701E-2</v>
      </c>
    </row>
    <row r="110" spans="1:5" x14ac:dyDescent="0.3">
      <c r="A110" s="57">
        <f>Beta!A110</f>
        <v>45159</v>
      </c>
      <c r="B110" s="44">
        <f>Beta!B110</f>
        <v>156.33561706542969</v>
      </c>
      <c r="C110" s="44">
        <f>Beta!C110</f>
        <v>19265.80078125</v>
      </c>
      <c r="D110" s="36">
        <v>1.260821943258272E-2</v>
      </c>
      <c r="E110" s="36">
        <v>1.8784444174400059E-3</v>
      </c>
    </row>
    <row r="111" spans="1:5" x14ac:dyDescent="0.3">
      <c r="A111" s="57">
        <f>Beta!A111</f>
        <v>45166</v>
      </c>
      <c r="B111" s="44">
        <f>Beta!B111</f>
        <v>159.85711669921881</v>
      </c>
      <c r="C111" s="44">
        <f>Beta!C111</f>
        <v>19435.30078125</v>
      </c>
      <c r="D111" s="36">
        <v>4.8257903217383769E-2</v>
      </c>
      <c r="E111" s="36">
        <v>1.580912041455607E-3</v>
      </c>
    </row>
    <row r="112" spans="1:5" x14ac:dyDescent="0.3">
      <c r="A112" s="57">
        <f>Beta!A112</f>
        <v>45173</v>
      </c>
      <c r="B112" s="44">
        <f>Beta!B112</f>
        <v>159.21234130859381</v>
      </c>
      <c r="C112" s="44">
        <f>Beta!C112</f>
        <v>19819.94921875</v>
      </c>
      <c r="D112" s="36">
        <v>3.4014978464335988E-2</v>
      </c>
      <c r="E112" s="36">
        <v>1.41460941341125E-2</v>
      </c>
    </row>
    <row r="113" spans="1:5" x14ac:dyDescent="0.3">
      <c r="A113" s="57">
        <f>Beta!A113</f>
        <v>45180</v>
      </c>
      <c r="B113" s="44">
        <f>Beta!B113</f>
        <v>161.7914733886719</v>
      </c>
      <c r="C113" s="44">
        <f>Beta!C113</f>
        <v>20192.349609375</v>
      </c>
      <c r="D113" s="36">
        <v>-1.464913973766024E-2</v>
      </c>
      <c r="E113" s="36">
        <v>-8.5254435355359703E-3</v>
      </c>
    </row>
    <row r="114" spans="1:5" x14ac:dyDescent="0.3">
      <c r="A114" s="57">
        <f>Beta!A114</f>
        <v>45187</v>
      </c>
      <c r="B114" s="44">
        <f>Beta!B114</f>
        <v>152.2189025878906</v>
      </c>
      <c r="C114" s="44">
        <f>Beta!C114</f>
        <v>19674.25</v>
      </c>
      <c r="D114" s="36">
        <v>1.08131540214127E-2</v>
      </c>
      <c r="E114" s="36">
        <v>2.8049116351021919E-2</v>
      </c>
    </row>
    <row r="115" spans="1:5" x14ac:dyDescent="0.3">
      <c r="A115" s="57">
        <f>Beta!A115</f>
        <v>45194</v>
      </c>
      <c r="B115" s="44">
        <f>Beta!B115</f>
        <v>151.722900390625</v>
      </c>
      <c r="C115" s="44">
        <f>Beta!C115</f>
        <v>19638.30078125</v>
      </c>
      <c r="D115" s="36">
        <v>5.9607087504711656E-3</v>
      </c>
      <c r="E115" s="36">
        <v>7.4391381641183418E-3</v>
      </c>
    </row>
    <row r="116" spans="1:5" x14ac:dyDescent="0.3">
      <c r="A116" s="57">
        <f>Beta!A116</f>
        <v>45201</v>
      </c>
      <c r="B116" s="44">
        <f>Beta!B116</f>
        <v>157.2283935546875</v>
      </c>
      <c r="C116" s="44">
        <f>Beta!C116</f>
        <v>19653.5</v>
      </c>
      <c r="D116" s="36">
        <v>1.557043099309907E-2</v>
      </c>
      <c r="E116" s="36">
        <v>1.20371206688461E-2</v>
      </c>
    </row>
    <row r="117" spans="1:5" x14ac:dyDescent="0.3">
      <c r="A117" s="57">
        <f>Beta!A117</f>
        <v>45208</v>
      </c>
      <c r="B117" s="44">
        <f>Beta!B117</f>
        <v>161.69227600097659</v>
      </c>
      <c r="C117" s="44">
        <f>Beta!C117</f>
        <v>19751.05078125</v>
      </c>
      <c r="D117" s="36">
        <v>-1.6792737152896201E-2</v>
      </c>
      <c r="E117" s="36">
        <v>9.225893838329613E-3</v>
      </c>
    </row>
    <row r="118" spans="1:5" x14ac:dyDescent="0.3">
      <c r="A118" s="57">
        <f>Beta!A118</f>
        <v>45215</v>
      </c>
      <c r="B118" s="44">
        <f>Beta!B118</f>
        <v>167.24736022949219</v>
      </c>
      <c r="C118" s="44">
        <f>Beta!C118</f>
        <v>19542.650390625</v>
      </c>
      <c r="D118" s="36">
        <v>-2.846240763504004E-2</v>
      </c>
      <c r="E118" s="36">
        <v>-5.0113557229678474E-3</v>
      </c>
    </row>
    <row r="119" spans="1:5" x14ac:dyDescent="0.3">
      <c r="A119" s="57">
        <f>Beta!A119</f>
        <v>45222</v>
      </c>
      <c r="B119" s="44">
        <f>Beta!B119</f>
        <v>154.64924621582031</v>
      </c>
      <c r="C119" s="44">
        <f>Beta!C119</f>
        <v>19047.25</v>
      </c>
      <c r="D119" s="36">
        <v>-2.1383467953669411E-2</v>
      </c>
      <c r="E119" s="36">
        <v>-6.5687899663359186E-3</v>
      </c>
    </row>
    <row r="120" spans="1:5" x14ac:dyDescent="0.3">
      <c r="A120" s="57">
        <f>Beta!A120</f>
        <v>45229</v>
      </c>
      <c r="B120" s="44">
        <f>Beta!B120</f>
        <v>155.59162902832031</v>
      </c>
      <c r="C120" s="44">
        <f>Beta!C120</f>
        <v>19230.599609375</v>
      </c>
      <c r="D120" s="36">
        <v>-6.0060451760099109E-2</v>
      </c>
      <c r="E120" s="36">
        <v>-4.5447158246656461E-3</v>
      </c>
    </row>
    <row r="121" spans="1:5" x14ac:dyDescent="0.3">
      <c r="A121" s="57">
        <f>Beta!A121</f>
        <v>45236</v>
      </c>
      <c r="B121" s="44">
        <f>Beta!B121</f>
        <v>157.62516784667969</v>
      </c>
      <c r="C121" s="44">
        <f>Beta!C121</f>
        <v>19425.349609375</v>
      </c>
      <c r="D121" s="36">
        <v>5.4874997444573914E-3</v>
      </c>
      <c r="E121" s="36">
        <v>-6.0813548212629298E-3</v>
      </c>
    </row>
    <row r="122" spans="1:5" x14ac:dyDescent="0.3">
      <c r="A122" s="57">
        <f>Beta!A122</f>
        <v>45243</v>
      </c>
      <c r="B122" s="44">
        <f>Beta!B122</f>
        <v>163.5770263671875</v>
      </c>
      <c r="C122" s="44">
        <f>Beta!C122</f>
        <v>19731.80078125</v>
      </c>
      <c r="D122" s="36">
        <v>-2.039592717931304E-3</v>
      </c>
      <c r="E122" s="36">
        <v>-2.296699325373019E-3</v>
      </c>
    </row>
    <row r="123" spans="1:5" x14ac:dyDescent="0.3">
      <c r="A123" s="57">
        <f>Beta!A123</f>
        <v>45250</v>
      </c>
      <c r="B123" s="44">
        <f>Beta!B123</f>
        <v>165.56098937988281</v>
      </c>
      <c r="C123" s="44">
        <f>Beta!C123</f>
        <v>19794.69921875</v>
      </c>
      <c r="D123" s="36">
        <v>-9.1586143790965968E-3</v>
      </c>
      <c r="E123" s="36">
        <v>8.797973254502045E-3</v>
      </c>
    </row>
    <row r="124" spans="1:5" x14ac:dyDescent="0.3">
      <c r="A124" s="57">
        <f>Beta!A124</f>
        <v>45257</v>
      </c>
      <c r="B124" s="44">
        <f>Beta!B124</f>
        <v>162.63465881347659</v>
      </c>
      <c r="C124" s="44">
        <f>Beta!C124</f>
        <v>20267.900390625</v>
      </c>
      <c r="D124" s="36">
        <v>1.252129785053047E-2</v>
      </c>
      <c r="E124" s="36">
        <v>1.9791226378708119E-2</v>
      </c>
    </row>
    <row r="125" spans="1:5" x14ac:dyDescent="0.3">
      <c r="A125" s="57">
        <f>Beta!A125</f>
        <v>45264</v>
      </c>
      <c r="B125" s="44">
        <f>Beta!B125</f>
        <v>163.1306457519531</v>
      </c>
      <c r="C125" s="44">
        <f>Beta!C125</f>
        <v>20969.400390625</v>
      </c>
      <c r="D125" s="36">
        <v>-1.6848546948025069E-3</v>
      </c>
      <c r="E125" s="36">
        <v>1.8789169766020519E-2</v>
      </c>
    </row>
    <row r="126" spans="1:5" x14ac:dyDescent="0.3">
      <c r="A126" s="57">
        <f>Beta!A126</f>
        <v>45271</v>
      </c>
      <c r="B126" s="44">
        <f>Beta!B126</f>
        <v>176.81993103027341</v>
      </c>
      <c r="C126" s="44">
        <f>Beta!C126</f>
        <v>21456.650390625</v>
      </c>
      <c r="D126" s="36">
        <v>7.015456158318667E-3</v>
      </c>
      <c r="E126" s="36">
        <v>-2.5658213105346332E-2</v>
      </c>
    </row>
    <row r="127" spans="1:5" x14ac:dyDescent="0.3">
      <c r="A127" s="57">
        <f>Beta!A127</f>
        <v>45278</v>
      </c>
      <c r="B127" s="44">
        <f>Beta!B127</f>
        <v>172.901611328125</v>
      </c>
      <c r="C127" s="44">
        <f>Beta!C127</f>
        <v>21349.400390625</v>
      </c>
      <c r="D127" s="36">
        <v>-6.024538161190196E-3</v>
      </c>
      <c r="E127" s="36">
        <v>-1.827221812775615E-3</v>
      </c>
    </row>
    <row r="128" spans="1:5" x14ac:dyDescent="0.3">
      <c r="A128" s="57">
        <f>Beta!A128</f>
        <v>45285</v>
      </c>
      <c r="B128" s="44">
        <f>Beta!B128</f>
        <v>174.9847717285156</v>
      </c>
      <c r="C128" s="44">
        <f>Beta!C128</f>
        <v>21731.400390625</v>
      </c>
      <c r="D128" s="36">
        <v>2.8661248015660062E-4</v>
      </c>
      <c r="E128" s="36">
        <v>7.7395793654977396E-4</v>
      </c>
    </row>
    <row r="129" spans="1:5" x14ac:dyDescent="0.3">
      <c r="A129" s="57">
        <f>Beta!A129</f>
        <v>45292</v>
      </c>
      <c r="B129" s="44">
        <f>Beta!B129</f>
        <v>178.60548400878909</v>
      </c>
      <c r="C129" s="44">
        <f>Beta!C129</f>
        <v>21710.80078125</v>
      </c>
      <c r="D129" s="36">
        <v>7.9871855232718225E-3</v>
      </c>
      <c r="E129" s="36">
        <v>4.9635322588852393E-3</v>
      </c>
    </row>
    <row r="130" spans="1:5" x14ac:dyDescent="0.3">
      <c r="A130" s="57">
        <f>Beta!A130</f>
        <v>45299</v>
      </c>
      <c r="B130" s="44">
        <f>Beta!B130</f>
        <v>176.7207336425781</v>
      </c>
      <c r="C130" s="44">
        <f>Beta!C130</f>
        <v>21894.55078125</v>
      </c>
      <c r="D130" s="36">
        <v>1.158619335874578E-3</v>
      </c>
      <c r="E130" s="36">
        <v>-1.0551357137051021E-2</v>
      </c>
    </row>
    <row r="131" spans="1:5" x14ac:dyDescent="0.3">
      <c r="A131" s="57">
        <f>Beta!A131</f>
        <v>45306</v>
      </c>
      <c r="B131" s="44">
        <f>Beta!B131</f>
        <v>173.6455993652344</v>
      </c>
      <c r="C131" s="44">
        <f>Beta!C131</f>
        <v>21622.400390625</v>
      </c>
      <c r="D131" s="36">
        <v>-1.434513267945692E-2</v>
      </c>
      <c r="E131" s="36">
        <v>-2.534970337813813E-2</v>
      </c>
    </row>
    <row r="132" spans="1:5" x14ac:dyDescent="0.3">
      <c r="A132" s="57">
        <f>Beta!A132</f>
        <v>45313</v>
      </c>
      <c r="B132" s="44">
        <f>Beta!B132</f>
        <v>180.68864440917969</v>
      </c>
      <c r="C132" s="44">
        <f>Beta!C132</f>
        <v>21352.599609375</v>
      </c>
      <c r="D132" s="36">
        <v>5.5934225223062128E-3</v>
      </c>
      <c r="E132" s="36">
        <v>9.6260409967319216E-3</v>
      </c>
    </row>
    <row r="133" spans="1:5" x14ac:dyDescent="0.3">
      <c r="A133" s="57">
        <f>Beta!A133</f>
        <v>45320</v>
      </c>
      <c r="B133" s="44">
        <f>Beta!B133</f>
        <v>185.4997253417969</v>
      </c>
      <c r="C133" s="44">
        <f>Beta!C133</f>
        <v>21853.80078125</v>
      </c>
      <c r="D133" s="36">
        <v>3.1368855081221447E-2</v>
      </c>
      <c r="E133" s="36">
        <v>1.0127089324092561E-2</v>
      </c>
    </row>
    <row r="134" spans="1:5" x14ac:dyDescent="0.3">
      <c r="A134" s="57">
        <f>Beta!A134</f>
        <v>45327</v>
      </c>
      <c r="B134" s="44">
        <f>Beta!B134</f>
        <v>193.6339416503906</v>
      </c>
      <c r="C134" s="44">
        <f>Beta!C134</f>
        <v>21782.5</v>
      </c>
      <c r="D134" s="36">
        <v>7.7637878490945944E-3</v>
      </c>
      <c r="E134" s="36">
        <v>1.577583817215333E-2</v>
      </c>
    </row>
    <row r="135" spans="1:5" x14ac:dyDescent="0.3">
      <c r="A135" s="57">
        <f>Beta!A135</f>
        <v>45334</v>
      </c>
      <c r="B135" s="44">
        <f>Beta!B135</f>
        <v>211.43992614746091</v>
      </c>
      <c r="C135" s="44">
        <f>Beta!C135</f>
        <v>22040.69921875</v>
      </c>
      <c r="D135" s="36">
        <v>-1.5715422438338011E-2</v>
      </c>
      <c r="E135" s="36">
        <v>3.1876683835045938E-3</v>
      </c>
    </row>
    <row r="136" spans="1:5" x14ac:dyDescent="0.3">
      <c r="A136" s="57">
        <f>Beta!A136</f>
        <v>45341</v>
      </c>
      <c r="B136" s="44">
        <f>Beta!B136</f>
        <v>213.42388916015619</v>
      </c>
      <c r="C136" s="44">
        <f>Beta!C136</f>
        <v>22212.69921875</v>
      </c>
      <c r="D136" s="36">
        <v>7.0324990647483432E-2</v>
      </c>
      <c r="E136" s="36">
        <v>2.3905448961142769E-2</v>
      </c>
    </row>
    <row r="137" spans="1:5" x14ac:dyDescent="0.3">
      <c r="A137" s="57">
        <f>Beta!A137</f>
        <v>45348</v>
      </c>
      <c r="B137" s="44">
        <f>Beta!B137</f>
        <v>207.72001647949219</v>
      </c>
      <c r="C137" s="44">
        <f>Beta!C137</f>
        <v>22338.75</v>
      </c>
      <c r="D137" s="36">
        <v>-5.7434496385834199E-3</v>
      </c>
      <c r="E137" s="36">
        <v>3.4611379890365113E-2</v>
      </c>
    </row>
    <row r="138" spans="1:5" x14ac:dyDescent="0.3">
      <c r="A138" s="57">
        <f>Beta!A138</f>
        <v>45355</v>
      </c>
      <c r="B138" s="44">
        <f>Beta!B138</f>
        <v>205.63685607910159</v>
      </c>
      <c r="C138" s="44">
        <f>Beta!C138</f>
        <v>22493.55078125</v>
      </c>
      <c r="D138" s="36">
        <v>-5.726335026949525E-3</v>
      </c>
      <c r="E138" s="36">
        <v>2.3236239039903021E-2</v>
      </c>
    </row>
    <row r="139" spans="1:5" x14ac:dyDescent="0.3">
      <c r="A139" s="57">
        <f>Beta!A139</f>
        <v>45362</v>
      </c>
      <c r="B139" s="44">
        <f>Beta!B139</f>
        <v>201.66896057128909</v>
      </c>
      <c r="C139" s="44">
        <f>Beta!C139</f>
        <v>22023.349609375</v>
      </c>
      <c r="D139" s="36">
        <v>5.0306276230504647E-2</v>
      </c>
      <c r="E139" s="36">
        <v>-4.9984502728748206E-3</v>
      </c>
    </row>
    <row r="140" spans="1:5" x14ac:dyDescent="0.3">
      <c r="A140" s="57">
        <f>Beta!A140</f>
        <v>45369</v>
      </c>
      <c r="B140" s="44">
        <f>Beta!B140</f>
        <v>230.43629455566409</v>
      </c>
      <c r="C140" s="44">
        <f>Beta!C140</f>
        <v>22096.75</v>
      </c>
      <c r="D140" s="36">
        <v>3.4362932863391649E-2</v>
      </c>
      <c r="E140" s="36">
        <v>1.7892774176821561E-2</v>
      </c>
    </row>
    <row r="141" spans="1:5" x14ac:dyDescent="0.3">
      <c r="A141" s="57">
        <f>Beta!A141</f>
        <v>45376</v>
      </c>
      <c r="B141" s="44">
        <f>Beta!B141</f>
        <v>225.7243957519531</v>
      </c>
      <c r="C141" s="44">
        <f>Beta!C141</f>
        <v>22326.900390625</v>
      </c>
      <c r="D141" s="36">
        <v>-1.238188955867048E-2</v>
      </c>
      <c r="E141" s="36">
        <v>-9.4791909424696286E-4</v>
      </c>
    </row>
    <row r="142" spans="1:5" x14ac:dyDescent="0.3">
      <c r="A142" s="57">
        <f>Beta!A142</f>
        <v>45383</v>
      </c>
      <c r="B142" s="44">
        <f>Beta!B142</f>
        <v>225.8731994628906</v>
      </c>
      <c r="C142" s="44">
        <f>Beta!C142</f>
        <v>22513.69921875</v>
      </c>
      <c r="D142" s="36">
        <v>-2.2997382226322301E-2</v>
      </c>
      <c r="E142" s="36">
        <v>8.4635293673134271E-3</v>
      </c>
    </row>
    <row r="143" spans="1:5" x14ac:dyDescent="0.3">
      <c r="A143" s="57">
        <f>Beta!A143</f>
        <v>45390</v>
      </c>
      <c r="B143" s="44">
        <f>Beta!B143</f>
        <v>224.83161926269531</v>
      </c>
      <c r="C143" s="44">
        <f>Beta!C143</f>
        <v>22519.400390625</v>
      </c>
      <c r="D143" s="36">
        <v>-2.4170180641577281E-3</v>
      </c>
      <c r="E143" s="36">
        <v>-1.243005135588637E-2</v>
      </c>
    </row>
    <row r="144" spans="1:5" x14ac:dyDescent="0.3">
      <c r="A144" s="57">
        <f>Beta!A144</f>
        <v>45397</v>
      </c>
      <c r="B144" s="44">
        <f>Beta!B144</f>
        <v>225.0796203613281</v>
      </c>
      <c r="C144" s="44">
        <f>Beta!C144</f>
        <v>22147</v>
      </c>
      <c r="D144" s="36">
        <v>6.3251205585923564E-4</v>
      </c>
      <c r="E144" s="36">
        <v>-1.247783670526148E-2</v>
      </c>
    </row>
    <row r="145" spans="1:5" x14ac:dyDescent="0.3">
      <c r="A145" s="57">
        <f>Beta!A145</f>
        <v>45404</v>
      </c>
      <c r="B145" s="44">
        <f>Beta!B145</f>
        <v>225.52601623535159</v>
      </c>
      <c r="C145" s="44">
        <f>Beta!C145</f>
        <v>22419.94921875</v>
      </c>
      <c r="D145" s="36">
        <v>1.3516442519887479E-3</v>
      </c>
      <c r="E145" s="36">
        <v>2.3472606663543779E-2</v>
      </c>
    </row>
    <row r="146" spans="1:5" x14ac:dyDescent="0.3">
      <c r="A146" s="57">
        <f>Beta!A146</f>
        <v>45411</v>
      </c>
      <c r="B146" s="44">
        <f>Beta!B146</f>
        <v>234.50340270996091</v>
      </c>
      <c r="C146" s="44">
        <f>Beta!C146</f>
        <v>22475.849609375</v>
      </c>
      <c r="D146" s="36">
        <v>-3.4444589893335098E-2</v>
      </c>
      <c r="E146" s="36">
        <v>-3.262626119991618E-3</v>
      </c>
    </row>
    <row r="147" spans="1:5" x14ac:dyDescent="0.3">
      <c r="A147" s="57">
        <f>Beta!A147</f>
        <v>45418</v>
      </c>
      <c r="B147" s="44">
        <f>Beta!B147</f>
        <v>217.24299621582031</v>
      </c>
      <c r="C147" s="44">
        <f>Beta!C147</f>
        <v>22055.19921875</v>
      </c>
      <c r="D147" s="36">
        <v>-1.162618285607497E-2</v>
      </c>
      <c r="E147" s="36">
        <v>1.1853516297486429E-2</v>
      </c>
    </row>
    <row r="148" spans="1:5" x14ac:dyDescent="0.3">
      <c r="A148" s="57">
        <f>Beta!A148</f>
        <v>45425</v>
      </c>
      <c r="B148" s="44">
        <f>Beta!B148</f>
        <v>223.7404479980469</v>
      </c>
      <c r="C148" s="44">
        <f>Beta!C148</f>
        <v>22466.099609375</v>
      </c>
      <c r="D148" s="36">
        <v>4.6094745619174038E-3</v>
      </c>
      <c r="E148" s="36">
        <v>7.8037451667449798E-3</v>
      </c>
    </row>
    <row r="149" spans="1:5" x14ac:dyDescent="0.3">
      <c r="A149" s="57">
        <f>Beta!A149</f>
        <v>45432</v>
      </c>
      <c r="B149" s="44">
        <f>Beta!B149</f>
        <v>214.76304626464841</v>
      </c>
      <c r="C149" s="44">
        <f>Beta!C149</f>
        <v>22957.099609375</v>
      </c>
      <c r="D149" s="36">
        <v>-1.7521679271244039E-3</v>
      </c>
      <c r="E149" s="36">
        <v>5.6747169719741919E-3</v>
      </c>
    </row>
    <row r="150" spans="1:5" x14ac:dyDescent="0.3">
      <c r="A150" s="57">
        <f>Beta!A150</f>
        <v>45439</v>
      </c>
      <c r="B150" s="44">
        <f>Beta!B150</f>
        <v>210.89436340332031</v>
      </c>
      <c r="C150" s="44">
        <f>Beta!C150</f>
        <v>22530.69921875</v>
      </c>
      <c r="D150" s="36">
        <v>-7.8232398701811867E-3</v>
      </c>
      <c r="E150" s="36">
        <v>6.9296975546975226E-3</v>
      </c>
    </row>
    <row r="151" spans="1:5" x14ac:dyDescent="0.3">
      <c r="A151" s="57">
        <f>Beta!A151</f>
        <v>45446</v>
      </c>
      <c r="B151" s="44">
        <f>Beta!B151</f>
        <v>217.2926025390625</v>
      </c>
      <c r="C151" s="44">
        <f>Beta!C151</f>
        <v>23290.150390625</v>
      </c>
      <c r="D151" s="36">
        <v>1.7395747332666019E-2</v>
      </c>
      <c r="E151" s="36">
        <v>-2.09038215641324E-2</v>
      </c>
    </row>
    <row r="152" spans="1:5" x14ac:dyDescent="0.3">
      <c r="A152" s="57">
        <f>Beta!A152</f>
        <v>45453</v>
      </c>
      <c r="B152" s="44">
        <f>Beta!B152</f>
        <v>221.29026794433591</v>
      </c>
      <c r="C152" s="44">
        <f>Beta!C152</f>
        <v>23465.599609375</v>
      </c>
      <c r="D152" s="36">
        <v>-2.195334643134839E-2</v>
      </c>
      <c r="E152" s="36">
        <v>3.332844091697762E-3</v>
      </c>
    </row>
    <row r="153" spans="1:5" x14ac:dyDescent="0.3">
      <c r="A153" s="57">
        <f>Beta!A153</f>
        <v>45460</v>
      </c>
      <c r="B153" s="44">
        <f>Beta!B153</f>
        <v>214.048828125</v>
      </c>
      <c r="C153" s="44">
        <f>Beta!C153</f>
        <v>23501.099609375</v>
      </c>
      <c r="D153" s="36">
        <v>9.5066341871514748E-3</v>
      </c>
      <c r="E153" s="36">
        <v>1.0415576527091019E-2</v>
      </c>
    </row>
    <row r="154" spans="1:5" x14ac:dyDescent="0.3">
      <c r="A154" s="57">
        <f>Beta!A154</f>
        <v>45467</v>
      </c>
      <c r="B154" s="44">
        <f>Beta!B154</f>
        <v>209.41630554199219</v>
      </c>
      <c r="C154" s="44">
        <f>Beta!C154</f>
        <v>24010.599609375</v>
      </c>
      <c r="D154" s="36">
        <v>-1.9994865602660061E-2</v>
      </c>
      <c r="E154" s="36">
        <v>8.3665365481468967E-3</v>
      </c>
    </row>
    <row r="155" spans="1:5" x14ac:dyDescent="0.3">
      <c r="A155" s="57">
        <f>Beta!A155</f>
        <v>45474</v>
      </c>
      <c r="B155" s="44">
        <f>Beta!B155</f>
        <v>208.7516784667969</v>
      </c>
      <c r="C155" s="44">
        <f>Beta!C155</f>
        <v>24323.849609375</v>
      </c>
      <c r="D155" s="36">
        <v>-1.273618227922957E-2</v>
      </c>
      <c r="E155" s="36">
        <v>2.5323123577369882E-4</v>
      </c>
    </row>
    <row r="156" spans="1:5" x14ac:dyDescent="0.3">
      <c r="A156" s="57">
        <f>Beta!A156</f>
        <v>45481</v>
      </c>
      <c r="B156" s="44">
        <f>Beta!B156</f>
        <v>203.2759704589844</v>
      </c>
      <c r="C156" s="44">
        <f>Beta!C156</f>
        <v>24502.150390625</v>
      </c>
      <c r="D156" s="36">
        <v>-1.7562022800636901E-2</v>
      </c>
      <c r="E156" s="36">
        <v>-1.6536869728557831E-2</v>
      </c>
    </row>
    <row r="157" spans="1:5" x14ac:dyDescent="0.3">
      <c r="A157" s="57">
        <f>Beta!A157</f>
        <v>45488</v>
      </c>
      <c r="B157" s="44">
        <f>Beta!B157</f>
        <v>204.08940124511719</v>
      </c>
      <c r="C157" s="44">
        <f>Beta!C157</f>
        <v>24530.900390625</v>
      </c>
      <c r="D157" s="36">
        <v>2.8308077362737549E-2</v>
      </c>
      <c r="E157" s="36">
        <v>1.232443304962305E-2</v>
      </c>
    </row>
    <row r="158" spans="1:5" x14ac:dyDescent="0.3">
      <c r="A158" s="57">
        <f>Beta!A158</f>
        <v>45495</v>
      </c>
      <c r="B158" s="44">
        <f>Beta!B158</f>
        <v>208.0176086425781</v>
      </c>
      <c r="C158" s="44">
        <f>Beta!C158</f>
        <v>24834.849609375</v>
      </c>
      <c r="D158" s="36">
        <v>-1.1634473835795739E-2</v>
      </c>
      <c r="E158" s="36">
        <v>2.493332615501664E-3</v>
      </c>
    </row>
    <row r="159" spans="1:5" x14ac:dyDescent="0.3">
      <c r="A159" s="57">
        <f>Beta!A159</f>
        <v>45502</v>
      </c>
      <c r="B159" s="44">
        <f>Beta!B159</f>
        <v>205.21031188964841</v>
      </c>
      <c r="C159" s="44">
        <f>Beta!C159</f>
        <v>24717.69921875</v>
      </c>
      <c r="D159" s="36">
        <v>6.7908884760366828E-2</v>
      </c>
      <c r="E159" s="36">
        <v>-1.871566138481107E-2</v>
      </c>
    </row>
    <row r="160" spans="1:5" x14ac:dyDescent="0.3">
      <c r="A160" s="57">
        <f>Beta!A160</f>
        <v>45509</v>
      </c>
      <c r="B160" s="44">
        <f>Beta!B160</f>
        <v>197.32408142089841</v>
      </c>
      <c r="C160" s="44">
        <f>Beta!C160</f>
        <v>24367.5</v>
      </c>
      <c r="D160" s="36">
        <v>5.7728376658545688E-3</v>
      </c>
      <c r="E160" s="36">
        <v>1.8630545412424929E-2</v>
      </c>
    </row>
    <row r="161" spans="1:5" x14ac:dyDescent="0.3">
      <c r="A161" s="57">
        <f>Beta!A161</f>
        <v>45516</v>
      </c>
      <c r="B161" s="44">
        <f>Beta!B161</f>
        <v>210.28924560546881</v>
      </c>
      <c r="C161" s="44">
        <f>Beta!C161</f>
        <v>24541.150390625</v>
      </c>
      <c r="D161" s="36">
        <v>2.83848284761028E-2</v>
      </c>
      <c r="E161" s="36">
        <v>2.1855151029202661E-2</v>
      </c>
    </row>
    <row r="162" spans="1:5" x14ac:dyDescent="0.3">
      <c r="A162" s="57">
        <f>Beta!A162</f>
        <v>45523</v>
      </c>
      <c r="B162" s="44">
        <f>Beta!B162</f>
        <v>220.86372375488281</v>
      </c>
      <c r="C162" s="44">
        <f>Beta!C162</f>
        <v>24823.150390625</v>
      </c>
      <c r="D162" s="36">
        <v>-1.162067761356955E-2</v>
      </c>
      <c r="E162" s="36">
        <v>-1.8573791893592321E-2</v>
      </c>
    </row>
    <row r="163" spans="1:5" x14ac:dyDescent="0.3">
      <c r="A163" s="57">
        <f>Beta!A163</f>
        <v>45530</v>
      </c>
      <c r="B163" s="44">
        <f>Beta!B163</f>
        <v>226.40887451171881</v>
      </c>
      <c r="C163" s="44">
        <f>Beta!C163</f>
        <v>25235.900390625</v>
      </c>
      <c r="D163" s="36">
        <v>5.4780032674607293E-2</v>
      </c>
      <c r="E163" s="36">
        <v>3.3707394719600492E-2</v>
      </c>
    </row>
    <row r="164" spans="1:5" x14ac:dyDescent="0.3">
      <c r="A164" s="57">
        <f>Beta!A164</f>
        <v>45537</v>
      </c>
      <c r="B164" s="44">
        <f>Beta!B164</f>
        <v>218.086181640625</v>
      </c>
      <c r="C164" s="44">
        <f>Beta!C164</f>
        <v>24852.150390625</v>
      </c>
      <c r="D164" s="36">
        <v>-1.279380454326029E-2</v>
      </c>
      <c r="E164" s="36">
        <v>7.5331938955887079E-3</v>
      </c>
    </row>
    <row r="165" spans="1:5" x14ac:dyDescent="0.3">
      <c r="A165" s="57">
        <f>Beta!A165</f>
        <v>45544</v>
      </c>
      <c r="B165" s="44">
        <f>Beta!B165</f>
        <v>206.38084411621091</v>
      </c>
      <c r="C165" s="44">
        <f>Beta!C165</f>
        <v>25356.5</v>
      </c>
      <c r="D165" s="36">
        <v>-1.1745378610028331E-2</v>
      </c>
      <c r="E165" s="36">
        <v>1.512852882131988E-3</v>
      </c>
    </row>
    <row r="166" spans="1:5" x14ac:dyDescent="0.3">
      <c r="A166" s="57">
        <f>Beta!A166</f>
        <v>45551</v>
      </c>
      <c r="B166" s="44">
        <f>Beta!B166</f>
        <v>211.31097412109381</v>
      </c>
      <c r="C166" s="44">
        <f>Beta!C166</f>
        <v>25790.94921875</v>
      </c>
      <c r="D166" s="36">
        <v>2.7249940160540831E-2</v>
      </c>
      <c r="E166" s="36">
        <v>2.1679836623336168E-2</v>
      </c>
    </row>
    <row r="167" spans="1:5" x14ac:dyDescent="0.3">
      <c r="A167" s="57">
        <f>Beta!A167</f>
        <v>45558</v>
      </c>
      <c r="B167" s="44">
        <f>Beta!B167</f>
        <v>202.32366943359381</v>
      </c>
      <c r="C167" s="44">
        <f>Beta!C167</f>
        <v>26178.94921875</v>
      </c>
      <c r="D167" s="36">
        <v>1.301231869322028E-2</v>
      </c>
      <c r="E167" s="36">
        <v>1.304632142038176E-2</v>
      </c>
    </row>
    <row r="168" spans="1:5" x14ac:dyDescent="0.3">
      <c r="A168" s="57">
        <f>Beta!A168</f>
        <v>45565</v>
      </c>
      <c r="B168" s="44">
        <f>Beta!B168</f>
        <v>206.68836975097659</v>
      </c>
      <c r="C168" s="44">
        <f>Beta!C168</f>
        <v>25014.599609375</v>
      </c>
      <c r="D168" s="36">
        <v>4.3313351992943838E-2</v>
      </c>
      <c r="E168" s="36">
        <v>7.3302862874664587E-3</v>
      </c>
    </row>
    <row r="169" spans="1:5" x14ac:dyDescent="0.3">
      <c r="A169" s="57">
        <f>Beta!A169</f>
        <v>45572</v>
      </c>
      <c r="B169" s="44">
        <f>Beta!B169</f>
        <v>206.837158203125</v>
      </c>
      <c r="C169" s="44">
        <f>Beta!C169</f>
        <v>24964.25</v>
      </c>
      <c r="D169" s="36">
        <v>1.5707567939918121E-2</v>
      </c>
      <c r="E169" s="36">
        <v>1.173366400158971E-3</v>
      </c>
    </row>
    <row r="170" spans="1:5" x14ac:dyDescent="0.3">
      <c r="A170" s="57">
        <f>Beta!A170</f>
        <v>45579</v>
      </c>
      <c r="B170" s="44">
        <f>Beta!B170</f>
        <v>205.41862487792969</v>
      </c>
      <c r="C170" s="44">
        <f>Beta!C170</f>
        <v>24854.05078125</v>
      </c>
      <c r="D170" s="36">
        <v>-8.7624097905736331E-4</v>
      </c>
      <c r="E170" s="36">
        <v>1.23904632080345E-2</v>
      </c>
    </row>
    <row r="171" spans="1:5" x14ac:dyDescent="0.3">
      <c r="A171" s="57">
        <f>Beta!A171</f>
        <v>45586</v>
      </c>
      <c r="B171" s="44">
        <f>Beta!B171</f>
        <v>193.58433532714841</v>
      </c>
      <c r="C171" s="44">
        <f>Beta!C171</f>
        <v>24180.80078125</v>
      </c>
      <c r="D171" s="36">
        <v>-2.5958643517758451E-2</v>
      </c>
      <c r="E171" s="36">
        <v>-4.7171773724281607E-3</v>
      </c>
    </row>
    <row r="172" spans="1:5" x14ac:dyDescent="0.3">
      <c r="A172" s="57">
        <f>Beta!A172</f>
        <v>45593</v>
      </c>
      <c r="B172" s="44">
        <f>Beta!B172</f>
        <v>210.1305236816406</v>
      </c>
      <c r="C172" s="44">
        <f>Beta!C172</f>
        <v>24304.349609375</v>
      </c>
      <c r="D172" s="36">
        <v>3.487469681746624E-3</v>
      </c>
      <c r="E172" s="36">
        <v>-1.4167953726225041E-2</v>
      </c>
    </row>
    <row r="173" spans="1:5" x14ac:dyDescent="0.3">
      <c r="A173" s="57">
        <f>Beta!A173</f>
        <v>45600</v>
      </c>
      <c r="B173" s="44">
        <f>Beta!B173</f>
        <v>199.86354064941409</v>
      </c>
      <c r="C173" s="44">
        <f>Beta!C173</f>
        <v>24148.19921875</v>
      </c>
      <c r="D173" s="36">
        <v>1.1136657534380531E-2</v>
      </c>
      <c r="E173" s="36">
        <v>7.126311300913013E-3</v>
      </c>
    </row>
    <row r="174" spans="1:5" x14ac:dyDescent="0.3">
      <c r="A174" s="57">
        <f>Beta!A174</f>
        <v>45607</v>
      </c>
      <c r="B174" s="44">
        <f>Beta!B174</f>
        <v>181.07550048828119</v>
      </c>
      <c r="C174" s="44">
        <f>Beta!C174</f>
        <v>23532.69921875</v>
      </c>
      <c r="D174" s="36">
        <v>1.099543597242514E-2</v>
      </c>
      <c r="E174" s="36">
        <v>1.1490903870086109E-2</v>
      </c>
    </row>
    <row r="175" spans="1:5" x14ac:dyDescent="0.3">
      <c r="A175" s="57">
        <f>Beta!A175</f>
        <v>45614</v>
      </c>
      <c r="B175" s="44">
        <f>Beta!B175</f>
        <v>178.46661376953119</v>
      </c>
      <c r="C175" s="44">
        <f>Beta!C175</f>
        <v>23907.25</v>
      </c>
      <c r="D175" s="36">
        <v>1.080684973246537E-2</v>
      </c>
      <c r="E175" s="36">
        <v>1.6627623549180241E-2</v>
      </c>
    </row>
    <row r="176" spans="1:5" x14ac:dyDescent="0.3">
      <c r="A176" s="57">
        <f>Beta!A176</f>
        <v>45621</v>
      </c>
      <c r="B176" s="44">
        <f>Beta!B176</f>
        <v>181.4226989746094</v>
      </c>
      <c r="C176" s="44">
        <f>Beta!C176</f>
        <v>24131.099609375</v>
      </c>
      <c r="D176" s="36">
        <v>-1.998236800185182E-3</v>
      </c>
      <c r="E176" s="36">
        <v>-1.520651112343752E-2</v>
      </c>
    </row>
    <row r="177" spans="1:5" x14ac:dyDescent="0.3">
      <c r="A177" s="57">
        <f>Beta!A177</f>
        <v>45628</v>
      </c>
      <c r="B177" s="44">
        <f>Beta!B177</f>
        <v>200.66705322265619</v>
      </c>
      <c r="C177" s="44">
        <f>Beta!C177</f>
        <v>24677.80078125</v>
      </c>
      <c r="D177" s="36">
        <v>4.9550389607597063E-2</v>
      </c>
      <c r="E177" s="36">
        <v>2.0294002790408609E-2</v>
      </c>
    </row>
    <row r="178" spans="1:5" x14ac:dyDescent="0.3">
      <c r="A178" s="57">
        <f>Beta!A178</f>
        <v>45635</v>
      </c>
      <c r="B178" s="44">
        <f>Beta!B178</f>
        <v>228.11506652832031</v>
      </c>
      <c r="C178" s="44">
        <f>Beta!C178</f>
        <v>24768.30078125</v>
      </c>
      <c r="D178" s="36">
        <v>1.2628133430971911E-2</v>
      </c>
      <c r="E178" s="36">
        <v>1.7133643000808441E-2</v>
      </c>
    </row>
    <row r="179" spans="1:5" x14ac:dyDescent="0.3">
      <c r="A179" s="57">
        <f>Beta!A179</f>
        <v>45642</v>
      </c>
      <c r="B179" s="44">
        <f>Beta!B179</f>
        <v>211.14234924316409</v>
      </c>
      <c r="C179" s="44">
        <f>Beta!C179</f>
        <v>23587.5</v>
      </c>
      <c r="D179" s="36">
        <v>9.3792145651547809E-3</v>
      </c>
      <c r="E179" s="36">
        <v>1.5044037220542711E-2</v>
      </c>
    </row>
    <row r="180" spans="1:5" x14ac:dyDescent="0.3">
      <c r="A180" s="57">
        <f>Beta!A180</f>
        <v>45649</v>
      </c>
      <c r="B180" s="44">
        <f>Beta!B180</f>
        <v>230.3172607421875</v>
      </c>
      <c r="C180" s="44">
        <f>Beta!C180</f>
        <v>23813.400390625</v>
      </c>
      <c r="D180" s="36">
        <v>-1.001781110787836E-2</v>
      </c>
      <c r="E180" s="36">
        <v>-4.4476560141728849E-2</v>
      </c>
    </row>
    <row r="181" spans="1:5" x14ac:dyDescent="0.3">
      <c r="A181" s="57">
        <f>Beta!A181</f>
        <v>45656</v>
      </c>
      <c r="B181" s="44">
        <f>Beta!B181</f>
        <v>226.14103698730469</v>
      </c>
      <c r="C181" s="44">
        <f>Beta!C181</f>
        <v>24004.75</v>
      </c>
      <c r="D181" s="36">
        <v>-3.6658066224494079E-2</v>
      </c>
      <c r="E181" s="36">
        <v>-2.012808926037279E-3</v>
      </c>
    </row>
    <row r="182" spans="1:5" x14ac:dyDescent="0.3">
      <c r="A182" s="57">
        <f>Beta!A182</f>
        <v>45663</v>
      </c>
      <c r="B182" s="44">
        <f>Beta!B182</f>
        <v>213.53300476074219</v>
      </c>
      <c r="C182" s="44">
        <f>Beta!C182</f>
        <v>23431.5</v>
      </c>
      <c r="D182" s="36">
        <v>-1.5271332312723601E-2</v>
      </c>
      <c r="E182" s="36">
        <v>-4.4142811720760946E-3</v>
      </c>
    </row>
    <row r="183" spans="1:5" x14ac:dyDescent="0.3">
      <c r="A183" s="57">
        <f>Beta!A183</f>
        <v>45670</v>
      </c>
      <c r="B183" s="44">
        <f>Beta!B183</f>
        <v>205.29960632324219</v>
      </c>
      <c r="C183" s="44">
        <f>Beta!C183</f>
        <v>23203.19921875</v>
      </c>
      <c r="D183" s="36">
        <v>-3.6995559121262067E-2</v>
      </c>
      <c r="E183" s="36">
        <v>-2.708813971314095E-2</v>
      </c>
    </row>
    <row r="184" spans="1:5" x14ac:dyDescent="0.3">
      <c r="A184" s="57">
        <f>Beta!A184</f>
        <v>45677</v>
      </c>
      <c r="B184" s="44">
        <f>Beta!B184</f>
        <v>218.16552734375</v>
      </c>
      <c r="C184" s="44">
        <f>Beta!C184</f>
        <v>23092.19921875</v>
      </c>
      <c r="D184" s="36">
        <v>4.1714591154600189E-3</v>
      </c>
      <c r="E184" s="36">
        <v>5.1093770319137199E-3</v>
      </c>
    </row>
    <row r="185" spans="1:5" x14ac:dyDescent="0.3">
      <c r="A185" s="57">
        <f>Beta!A185</f>
        <v>45684</v>
      </c>
      <c r="B185" s="44">
        <f>Beta!B185</f>
        <v>206.06341552734381</v>
      </c>
      <c r="C185" s="44">
        <f>Beta!C185</f>
        <v>23482.150390625</v>
      </c>
      <c r="D185" s="36">
        <v>9.5028511855450581E-3</v>
      </c>
      <c r="E185" s="36">
        <v>-6.424791987223899E-3</v>
      </c>
    </row>
    <row r="186" spans="1:5" x14ac:dyDescent="0.3">
      <c r="A186" s="57">
        <f>Beta!A186</f>
        <v>45691</v>
      </c>
      <c r="B186" s="44">
        <f>Beta!B186</f>
        <v>210.8844299316406</v>
      </c>
      <c r="C186" s="44">
        <f>Beta!C186</f>
        <v>23559.94921875</v>
      </c>
      <c r="D186" s="36">
        <v>-0.14468910501114229</v>
      </c>
      <c r="E186" s="36">
        <v>-2.5488443027341431E-2</v>
      </c>
    </row>
    <row r="187" spans="1:5" x14ac:dyDescent="0.3">
      <c r="A187" s="57">
        <f>Beta!A187</f>
        <v>45698</v>
      </c>
      <c r="B187" s="44">
        <f>Beta!B187</f>
        <v>201.71856689453119</v>
      </c>
      <c r="C187" s="44">
        <f>Beta!C187</f>
        <v>22929.25</v>
      </c>
      <c r="D187" s="36">
        <v>-1.368089222772639E-2</v>
      </c>
      <c r="E187" s="36">
        <v>1.591618444481591E-2</v>
      </c>
    </row>
    <row r="188" spans="1:5" x14ac:dyDescent="0.3">
      <c r="A188" s="57">
        <f>Beta!A188</f>
        <v>45705</v>
      </c>
      <c r="B188" s="44">
        <f>Beta!B188</f>
        <v>205.21031188964841</v>
      </c>
      <c r="C188" s="44">
        <f>Beta!C188</f>
        <v>22795.900390625</v>
      </c>
      <c r="D188" s="36">
        <v>1.9140434848396341E-2</v>
      </c>
      <c r="E188" s="36">
        <v>9.3632521254012335E-3</v>
      </c>
    </row>
    <row r="189" spans="1:5" x14ac:dyDescent="0.3">
      <c r="A189" s="57">
        <f>Beta!A189</f>
        <v>45712</v>
      </c>
      <c r="B189" s="44">
        <f>Beta!B189</f>
        <v>200.3397216796875</v>
      </c>
      <c r="C189" s="44">
        <f>Beta!C189</f>
        <v>22124.69921875</v>
      </c>
      <c r="D189" s="36">
        <v>-1.4227356177168081E-2</v>
      </c>
      <c r="E189" s="36">
        <v>2.2655460411037609E-2</v>
      </c>
    </row>
    <row r="190" spans="1:5" x14ac:dyDescent="0.3">
      <c r="A190" s="57">
        <f>Beta!A190</f>
        <v>45719</v>
      </c>
      <c r="B190" s="44">
        <f>Beta!B190</f>
        <v>212.93782043457031</v>
      </c>
      <c r="C190" s="44">
        <f>Beta!C190</f>
        <v>22552.5</v>
      </c>
      <c r="D190" s="36">
        <v>-4.2601084267518408E-3</v>
      </c>
      <c r="E190" s="36">
        <v>3.667263578396307E-3</v>
      </c>
    </row>
    <row r="191" spans="1:5" x14ac:dyDescent="0.3">
      <c r="A191" s="57">
        <f>Beta!A191</f>
        <v>45726</v>
      </c>
      <c r="B191" s="44">
        <f>Beta!B191</f>
        <v>203.20652770996091</v>
      </c>
      <c r="C191" s="44">
        <f>Beta!C191</f>
        <v>22397.19921875</v>
      </c>
      <c r="D191" s="36">
        <v>-3.1339537821142849E-2</v>
      </c>
      <c r="E191" s="36">
        <v>-4.7673871198458888E-2</v>
      </c>
    </row>
    <row r="192" spans="1:5" x14ac:dyDescent="0.3">
      <c r="A192" s="57">
        <f>Beta!A192</f>
        <v>45733</v>
      </c>
      <c r="B192" s="44">
        <f>Beta!B192</f>
        <v>213.21556091308591</v>
      </c>
      <c r="C192" s="44">
        <f>Beta!C192</f>
        <v>23350.400390625</v>
      </c>
      <c r="D192" s="36">
        <v>1.515502334518626E-2</v>
      </c>
      <c r="E192" s="36">
        <v>9.5771230789614137E-3</v>
      </c>
    </row>
    <row r="193" spans="1:5" x14ac:dyDescent="0.3">
      <c r="A193" s="57">
        <f>Beta!A193</f>
        <v>45740</v>
      </c>
      <c r="B193" s="44">
        <f>Beta!B193</f>
        <v>213.294921875</v>
      </c>
      <c r="C193" s="44">
        <f>Beta!C193</f>
        <v>23519.349609375</v>
      </c>
      <c r="D193" s="36">
        <v>1.3586928900182199E-2</v>
      </c>
      <c r="E193" s="36">
        <v>8.0353753028203911E-3</v>
      </c>
    </row>
    <row r="194" spans="1:5" x14ac:dyDescent="0.3">
      <c r="A194" s="57">
        <f>Beta!A194</f>
        <v>45747</v>
      </c>
      <c r="B194" s="44">
        <f>Beta!B194</f>
        <v>217.3818664550781</v>
      </c>
      <c r="C194" s="44">
        <f>Beta!C194</f>
        <v>22904.44921875</v>
      </c>
      <c r="D194" s="36">
        <v>2.1741430666590841E-2</v>
      </c>
      <c r="E194" s="36">
        <v>-2.3880690280048689E-2</v>
      </c>
    </row>
    <row r="195" spans="1:5" x14ac:dyDescent="0.3">
      <c r="A195" s="57">
        <f>Beta!A195</f>
        <v>45754</v>
      </c>
      <c r="B195" s="44">
        <f>Beta!B195</f>
        <v>218.79048156738281</v>
      </c>
      <c r="C195" s="44">
        <f>Beta!C195</f>
        <v>22828.55078125</v>
      </c>
      <c r="D195" s="36">
        <v>-1.7168783269249869E-2</v>
      </c>
      <c r="E195" s="36">
        <v>-9.7433276252053558E-3</v>
      </c>
    </row>
    <row r="196" spans="1:5" x14ac:dyDescent="0.3">
      <c r="A196" s="57">
        <f>Beta!A196</f>
        <v>45761</v>
      </c>
      <c r="B196" s="44">
        <f>Beta!B196</f>
        <v>221.07203674316409</v>
      </c>
      <c r="C196" s="44">
        <f>Beta!C196</f>
        <v>23851.650390625</v>
      </c>
      <c r="D196" s="36">
        <v>5.0912499672635107E-2</v>
      </c>
      <c r="E196" s="36">
        <v>-4.7838230820473893E-3</v>
      </c>
    </row>
    <row r="197" spans="1:5" x14ac:dyDescent="0.3">
      <c r="A197" s="57">
        <f>Beta!A197</f>
        <v>45768</v>
      </c>
      <c r="B197" s="44">
        <f>Beta!B197</f>
        <v>217.064453125</v>
      </c>
      <c r="C197" s="44">
        <f>Beta!C197</f>
        <v>24039.349609375</v>
      </c>
      <c r="D197" s="36">
        <v>1.9562730829111311E-2</v>
      </c>
      <c r="E197" s="36">
        <v>1.688670568710382E-2</v>
      </c>
    </row>
    <row r="198" spans="1:5" x14ac:dyDescent="0.3">
      <c r="A198" s="57">
        <f>Beta!A198</f>
        <v>45775</v>
      </c>
      <c r="B198" s="44">
        <f>Beta!B198</f>
        <v>217.44139099121091</v>
      </c>
      <c r="C198" s="44">
        <f>Beta!C198</f>
        <v>24346.69921875</v>
      </c>
      <c r="D198" s="36">
        <v>-6.360849149242509E-2</v>
      </c>
      <c r="E198" s="36">
        <v>3.313104925691146E-3</v>
      </c>
    </row>
    <row r="199" spans="1:5" x14ac:dyDescent="0.3">
      <c r="A199" s="57">
        <f>Beta!A199</f>
        <v>45782</v>
      </c>
      <c r="B199" s="44">
        <f>Beta!B199</f>
        <v>212.63031005859381</v>
      </c>
      <c r="C199" s="44">
        <f>Beta!C199</f>
        <v>24008</v>
      </c>
      <c r="D199" s="36">
        <v>1.4197692304957821E-2</v>
      </c>
      <c r="E199" s="36">
        <v>-2.6769973606227571E-2</v>
      </c>
    </row>
    <row r="200" spans="1:5" x14ac:dyDescent="0.3">
      <c r="A200" s="57">
        <f>Beta!A200</f>
        <v>45789</v>
      </c>
      <c r="B200" s="44">
        <f>Beta!B200</f>
        <v>220.2288513183594</v>
      </c>
      <c r="C200" s="44">
        <f>Beta!C200</f>
        <v>25019.80078125</v>
      </c>
      <c r="D200" s="36">
        <v>-2.1813237578891531E-2</v>
      </c>
      <c r="E200" s="36">
        <v>-5.8156986981693359E-3</v>
      </c>
    </row>
    <row r="201" spans="1:5" x14ac:dyDescent="0.3">
      <c r="A201" s="57">
        <f>Beta!A201</f>
        <v>45796</v>
      </c>
      <c r="B201" s="44">
        <f>Beta!B201</f>
        <v>218.4532165527344</v>
      </c>
      <c r="C201" s="44">
        <f>Beta!C201</f>
        <v>24853.150390625</v>
      </c>
      <c r="D201" s="36">
        <v>-4.8935140987282133E-2</v>
      </c>
      <c r="E201" s="36">
        <v>-2.9443942128780209E-2</v>
      </c>
    </row>
    <row r="202" spans="1:5" x14ac:dyDescent="0.3">
      <c r="A202" s="57">
        <f>Beta!A202</f>
        <v>45803</v>
      </c>
      <c r="B202" s="44">
        <f>Beta!B202</f>
        <v>215.6260681152344</v>
      </c>
      <c r="C202" s="44">
        <f>Beta!C202</f>
        <v>24750.69921875</v>
      </c>
      <c r="D202" s="36">
        <v>3.3250230899896087E-2</v>
      </c>
      <c r="E202" s="36">
        <v>1.9335891395416249E-2</v>
      </c>
    </row>
    <row r="203" spans="1:5" x14ac:dyDescent="0.3">
      <c r="A203" s="57">
        <f>Beta!A203</f>
        <v>45810</v>
      </c>
      <c r="B203" s="44">
        <f>Beta!B203</f>
        <v>215.72526550292969</v>
      </c>
      <c r="C203" s="44">
        <f>Beta!C203</f>
        <v>25003.05078125</v>
      </c>
      <c r="D203" s="36">
        <v>-4.2121653661680858E-3</v>
      </c>
      <c r="E203" s="36">
        <v>-6.8861891697150623E-3</v>
      </c>
    </row>
    <row r="204" spans="1:5" x14ac:dyDescent="0.3">
      <c r="A204" s="57">
        <f>Beta!A204</f>
        <v>45817</v>
      </c>
      <c r="B204" s="44">
        <f>Beta!B204</f>
        <v>212.75926208496091</v>
      </c>
      <c r="C204" s="44">
        <f>Beta!C204</f>
        <v>24718.599609375</v>
      </c>
      <c r="D204" s="36">
        <v>1.8135746341228609E-2</v>
      </c>
      <c r="E204" s="36">
        <v>4.2558945096895062E-2</v>
      </c>
    </row>
    <row r="205" spans="1:5" x14ac:dyDescent="0.3">
      <c r="A205" s="57">
        <f>Beta!A205</f>
        <v>45824</v>
      </c>
      <c r="B205" s="44">
        <f>Beta!B205</f>
        <v>209.64445495605469</v>
      </c>
      <c r="C205" s="44">
        <f>Beta!C205</f>
        <v>25112.400390625</v>
      </c>
      <c r="D205" s="36">
        <v>2.5529669507601049E-2</v>
      </c>
      <c r="E205" s="36">
        <v>7.2353885125597817E-3</v>
      </c>
    </row>
    <row r="206" spans="1:5" x14ac:dyDescent="0.3">
      <c r="A206" s="57">
        <f>Beta!A206</f>
        <v>45831</v>
      </c>
      <c r="B206" s="44">
        <f>Beta!B206</f>
        <v>212.22358703613281</v>
      </c>
      <c r="C206" s="44">
        <f>Beta!C206</f>
        <v>25637.80078125</v>
      </c>
      <c r="D206" s="36">
        <v>1.7521071929681661E-2</v>
      </c>
      <c r="E206" s="36">
        <v>-2.614444705477292E-2</v>
      </c>
    </row>
    <row r="207" spans="1:5" x14ac:dyDescent="0.3">
      <c r="A207" s="57">
        <f>Beta!A207</f>
        <v>45838</v>
      </c>
      <c r="B207" s="44">
        <f>Beta!B207</f>
        <v>211.05305480957031</v>
      </c>
      <c r="C207" s="44">
        <f>Beta!C207</f>
        <v>25461</v>
      </c>
      <c r="D207" s="36">
        <v>6.505565866454055E-2</v>
      </c>
      <c r="E207" s="36">
        <v>-3.3136984336592512E-3</v>
      </c>
    </row>
    <row r="208" spans="1:5" x14ac:dyDescent="0.3">
      <c r="A208" s="57">
        <f>Beta!A208</f>
        <v>45845</v>
      </c>
      <c r="B208" s="44">
        <f>Beta!B208</f>
        <v>209.64445495605469</v>
      </c>
      <c r="C208" s="44">
        <f>Beta!C208</f>
        <v>25149.849609375</v>
      </c>
      <c r="D208" s="36">
        <v>1.9513247363291519E-2</v>
      </c>
      <c r="E208" s="36">
        <v>4.4816669230502093E-2</v>
      </c>
    </row>
    <row r="209" spans="1:5" x14ac:dyDescent="0.3">
      <c r="A209" s="57">
        <f>Beta!A209</f>
        <v>45852</v>
      </c>
      <c r="B209" s="44">
        <f>Beta!B209</f>
        <v>224.37532043457031</v>
      </c>
      <c r="C209" s="44">
        <f>Beta!C209</f>
        <v>24968.400390625</v>
      </c>
      <c r="D209" s="36">
        <v>-6.251656234542935E-3</v>
      </c>
      <c r="E209" s="36">
        <v>7.8694436517390276E-3</v>
      </c>
    </row>
    <row r="210" spans="1:5" x14ac:dyDescent="0.3">
      <c r="A210" s="57">
        <f>Beta!A210</f>
        <v>45859</v>
      </c>
      <c r="B210" s="44">
        <f>Beta!B210</f>
        <v>229.9700622558594</v>
      </c>
      <c r="C210" s="44">
        <f>Beta!C210</f>
        <v>24837</v>
      </c>
      <c r="D210" s="36">
        <v>-2.2045918151300529E-2</v>
      </c>
      <c r="E210" s="36">
        <v>1.278527141412922E-2</v>
      </c>
    </row>
    <row r="211" spans="1:5" x14ac:dyDescent="0.3">
      <c r="A211" s="57">
        <f>Beta!A211</f>
        <v>45866</v>
      </c>
      <c r="B211" s="44">
        <f>Beta!B211</f>
        <v>241.8936462402344</v>
      </c>
      <c r="C211" s="44">
        <f>Beta!C211</f>
        <v>24565.349609375</v>
      </c>
      <c r="D211" s="36">
        <v>2.5466932014086559E-2</v>
      </c>
      <c r="E211" s="36">
        <v>-1.391150462355728E-2</v>
      </c>
    </row>
    <row r="212" spans="1:5" x14ac:dyDescent="0.3">
      <c r="A212" s="57">
        <f>Beta!A212</f>
        <v>45873</v>
      </c>
      <c r="B212" s="44">
        <f>Beta!B212</f>
        <v>257.68588256835938</v>
      </c>
      <c r="C212" s="44">
        <f>Beta!C212</f>
        <v>24363.30078125</v>
      </c>
      <c r="D212" s="36">
        <v>1.2049320961353921E-2</v>
      </c>
      <c r="E212" s="36">
        <v>4.2144317779490237E-2</v>
      </c>
    </row>
    <row r="213" spans="1:5" x14ac:dyDescent="0.3">
      <c r="A213" s="57">
        <f>Beta!A213</f>
        <v>45880</v>
      </c>
      <c r="B213" s="44">
        <f>Beta!B213</f>
        <v>287.36373901367188</v>
      </c>
      <c r="C213" s="44">
        <f>Beta!C213</f>
        <v>24631.30078125</v>
      </c>
      <c r="D213" s="36">
        <v>-2.726563116074221E-3</v>
      </c>
      <c r="E213" s="36">
        <v>-6.6607401106841824E-3</v>
      </c>
    </row>
    <row r="214" spans="1:5" x14ac:dyDescent="0.3">
      <c r="A214" s="57">
        <f>Beta!A214</f>
        <v>45887</v>
      </c>
      <c r="B214" s="44">
        <f>Beta!B214</f>
        <v>275.44830322265619</v>
      </c>
      <c r="C214" s="44">
        <f>Beta!C214</f>
        <v>24870.099609375</v>
      </c>
      <c r="D214" s="36">
        <v>4.374356009609226E-3</v>
      </c>
      <c r="E214" s="36">
        <v>-4.1222609715364511E-3</v>
      </c>
    </row>
    <row r="215" spans="1:5" x14ac:dyDescent="0.3">
      <c r="A215" s="57">
        <f>Beta!A215</f>
        <v>45894</v>
      </c>
      <c r="B215" s="44">
        <f>Beta!B215</f>
        <v>283.84982299804688</v>
      </c>
      <c r="C215" s="44">
        <f>Beta!C215</f>
        <v>24426.849609375</v>
      </c>
      <c r="D215" s="36">
        <v>1.7602733331418149E-2</v>
      </c>
      <c r="E215" s="36">
        <v>1.0195734684894431E-2</v>
      </c>
    </row>
    <row r="216" spans="1:5" x14ac:dyDescent="0.3">
      <c r="A216" s="57">
        <f>Beta!A216</f>
        <v>45901</v>
      </c>
      <c r="B216" s="44">
        <f>Beta!B216</f>
        <v>290.96722412109381</v>
      </c>
      <c r="C216" s="44">
        <f>Beta!C216</f>
        <v>24741</v>
      </c>
      <c r="D216" s="36">
        <v>-6.6874236807454857E-3</v>
      </c>
      <c r="E216" s="36">
        <v>-1.1376658567134211E-2</v>
      </c>
    </row>
    <row r="217" spans="1:5" x14ac:dyDescent="0.3">
      <c r="A217" s="57">
        <f>Beta!A217</f>
        <v>45908</v>
      </c>
      <c r="B217" s="44">
        <f>Beta!B217</f>
        <v>270.90911865234381</v>
      </c>
      <c r="C217" s="44">
        <f>Beta!C217</f>
        <v>25114</v>
      </c>
      <c r="D217" s="36">
        <v>3.0520968400860049E-3</v>
      </c>
      <c r="E217" s="36">
        <v>1.5931354828881309E-2</v>
      </c>
    </row>
    <row r="218" spans="1:5" x14ac:dyDescent="0.3">
      <c r="A218" s="57">
        <f>Beta!A218</f>
        <v>45915</v>
      </c>
      <c r="B218" s="44">
        <f>Beta!B218</f>
        <v>272.20318603515619</v>
      </c>
      <c r="C218" s="44">
        <f>Beta!C218</f>
        <v>25327.05078125</v>
      </c>
      <c r="D218" s="36">
        <v>3.713970557896884E-2</v>
      </c>
      <c r="E218" s="36">
        <v>2.092195020995069E-2</v>
      </c>
    </row>
    <row r="219" spans="1:5" x14ac:dyDescent="0.3">
      <c r="A219" s="57">
        <f>Beta!A219</f>
        <v>45922</v>
      </c>
      <c r="B219" s="44">
        <f>Beta!B219</f>
        <v>251.8962097167969</v>
      </c>
      <c r="C219" s="44">
        <f>Beta!C219</f>
        <v>24654.69921875</v>
      </c>
      <c r="D219" s="36">
        <v>-3.9692228573419142E-3</v>
      </c>
      <c r="E219" s="36">
        <v>-6.896097787736255E-3</v>
      </c>
    </row>
    <row r="220" spans="1:5" x14ac:dyDescent="0.3">
      <c r="A220" s="57">
        <f>Beta!A220</f>
        <v>45929</v>
      </c>
      <c r="B220" s="44">
        <f>Beta!B220</f>
        <v>253.04095458984381</v>
      </c>
      <c r="C220" s="44">
        <f>Beta!C220</f>
        <v>24894.25</v>
      </c>
      <c r="D220" s="36">
        <v>-2.252481200610168E-3</v>
      </c>
      <c r="E220" s="36">
        <v>-1.2220666534111021E-2</v>
      </c>
    </row>
    <row r="221" spans="1:5" x14ac:dyDescent="0.3">
      <c r="A221" s="57">
        <f>Beta!A221</f>
        <v>45936</v>
      </c>
      <c r="B221" s="44">
        <f>Beta!B221</f>
        <v>264.2894287109375</v>
      </c>
      <c r="C221" s="44">
        <f>Beta!C221</f>
        <v>25285.349609375</v>
      </c>
      <c r="D221" s="36">
        <v>-3.994122767968733E-3</v>
      </c>
      <c r="E221" s="36">
        <v>-7.2147238082235221E-3</v>
      </c>
    </row>
    <row r="222" spans="1:5" x14ac:dyDescent="0.3">
      <c r="A222" s="57">
        <f>Beta!A222</f>
        <v>45943</v>
      </c>
      <c r="B222" s="44">
        <f>Beta!B222</f>
        <v>256.57476806640619</v>
      </c>
      <c r="C222" s="44">
        <f>Beta!C222</f>
        <v>25709.849609375</v>
      </c>
      <c r="D222" s="36">
        <v>-2.467087658748535E-2</v>
      </c>
      <c r="E222" s="36">
        <v>-5.2626675545597301E-3</v>
      </c>
    </row>
    <row r="223" spans="1:5" x14ac:dyDescent="0.3">
      <c r="A223" s="57">
        <f>Beta!A223</f>
        <v>45950</v>
      </c>
      <c r="B223" s="44">
        <f>Beta!B223</f>
        <v>249.85554504394531</v>
      </c>
      <c r="C223" s="44">
        <f>Beta!C223</f>
        <v>25795.150390625</v>
      </c>
      <c r="D223" s="36">
        <v>3.6467675646842501E-2</v>
      </c>
      <c r="E223" s="36">
        <v>-1.093732699702055E-2</v>
      </c>
    </row>
    <row r="224" spans="1:5" x14ac:dyDescent="0.3">
      <c r="A224" s="57">
        <f>Beta!A224</f>
        <v>45957</v>
      </c>
      <c r="B224" s="44">
        <f>Beta!B224</f>
        <v>255.7286376953125</v>
      </c>
      <c r="C224" s="44">
        <f>Beta!C224</f>
        <v>25722.099609375</v>
      </c>
      <c r="D224" s="36">
        <v>-7.0886526952647189E-2</v>
      </c>
      <c r="E224" s="36">
        <v>-8.2249522737462E-3</v>
      </c>
    </row>
    <row r="225" spans="1:5" x14ac:dyDescent="0.3">
      <c r="A225" s="57">
        <f>Beta!A225</f>
        <v>45964</v>
      </c>
      <c r="B225" s="44">
        <f>Beta!B225</f>
        <v>245.2765197753906</v>
      </c>
      <c r="C225" s="44">
        <f>Beta!C225</f>
        <v>25492.30078125</v>
      </c>
      <c r="D225" s="36">
        <v>-2.786444348616302E-3</v>
      </c>
      <c r="E225" s="36">
        <v>1.100015151502998E-2</v>
      </c>
    </row>
    <row r="226" spans="1:5" x14ac:dyDescent="0.3">
      <c r="A226" s="57">
        <f>Beta!A226</f>
        <v>45971</v>
      </c>
      <c r="B226" s="44">
        <f>Beta!B226</f>
        <v>232.88328552246091</v>
      </c>
      <c r="C226" s="44">
        <f>Beta!C226</f>
        <v>25910.05078125</v>
      </c>
      <c r="D226" s="36">
        <v>4.58274398868459E-2</v>
      </c>
      <c r="E226" s="36">
        <v>9.6949337043044093E-3</v>
      </c>
    </row>
    <row r="227" spans="1:5" x14ac:dyDescent="0.3">
      <c r="A227" s="57">
        <f>Beta!A227</f>
        <v>45978</v>
      </c>
      <c r="B227" s="44">
        <f>Beta!B227</f>
        <v>223.3768310546875</v>
      </c>
      <c r="C227" s="44">
        <f>Beta!C227</f>
        <v>26068.150390625</v>
      </c>
      <c r="D227" s="36">
        <v>5.0220899828689942E-2</v>
      </c>
      <c r="E227" s="36">
        <v>-1.7822606542070799E-2</v>
      </c>
    </row>
    <row r="228" spans="1:5" x14ac:dyDescent="0.3">
      <c r="A228" s="57">
        <f>Beta!A228</f>
        <v>45985</v>
      </c>
      <c r="B228" s="44">
        <f>Beta!B228</f>
        <v>224.37226867675781</v>
      </c>
      <c r="C228" s="44">
        <f>Beta!C228</f>
        <v>26202.94921875</v>
      </c>
      <c r="D228" s="36">
        <v>4.3269230769230838E-2</v>
      </c>
      <c r="E228" s="36">
        <v>1.286086399387454E-2</v>
      </c>
    </row>
    <row r="229" spans="1:5" x14ac:dyDescent="0.3">
      <c r="A229" s="57">
        <f>Beta!A229</f>
        <v>45992</v>
      </c>
      <c r="B229" s="44">
        <f>Beta!B229</f>
        <v>221.78413391113281</v>
      </c>
      <c r="C229" s="44">
        <f>Beta!C229</f>
        <v>26186.44921875</v>
      </c>
      <c r="D229" s="36">
        <v>2.8143515470704369E-2</v>
      </c>
      <c r="E229" s="36">
        <v>1.5076189321369339E-2</v>
      </c>
    </row>
    <row r="230" spans="1:5" x14ac:dyDescent="0.3">
      <c r="A230" s="57">
        <f>Beta!A230</f>
        <v>45999</v>
      </c>
      <c r="B230" s="44">
        <f>Beta!B230</f>
        <v>220.55973815917969</v>
      </c>
      <c r="C230" s="44">
        <f>Beta!C230</f>
        <v>26046.94921875</v>
      </c>
      <c r="D230" s="36">
        <v>-2.8413638546502359E-2</v>
      </c>
      <c r="E230" s="36">
        <v>8.483347186827972E-3</v>
      </c>
    </row>
    <row r="231" spans="1:5" x14ac:dyDescent="0.3">
      <c r="A231" s="57">
        <f>Beta!A231</f>
        <v>46006</v>
      </c>
      <c r="B231" s="44">
        <f>Beta!B231</f>
        <v>215.5626220703125</v>
      </c>
      <c r="C231" s="44">
        <f>Beta!C231</f>
        <v>25966.400390625</v>
      </c>
      <c r="D231" s="36">
        <v>-2.4548974380097181E-2</v>
      </c>
      <c r="E231" s="36">
        <v>-2.6546776737138011E-2</v>
      </c>
    </row>
    <row r="232" spans="1:5" x14ac:dyDescent="0.3">
      <c r="A232" s="57">
        <f>Beta!A232</f>
        <v>46013</v>
      </c>
      <c r="B232" s="44">
        <f>Beta!B232</f>
        <v>224.75053405761719</v>
      </c>
      <c r="C232" s="44">
        <f>Beta!C232</f>
        <v>26042.30078125</v>
      </c>
      <c r="D232" s="36">
        <v>1.2161135039270301E-2</v>
      </c>
      <c r="E232" s="36">
        <v>9.7162321521173656E-3</v>
      </c>
    </row>
    <row r="233" spans="1:5" x14ac:dyDescent="0.3">
      <c r="A233" s="57">
        <f>Beta!A233</f>
        <v>46020</v>
      </c>
      <c r="B233" s="44">
        <f>Beta!B233</f>
        <v>221.49543762207031</v>
      </c>
      <c r="C233" s="44">
        <f>Beta!C233</f>
        <v>26328.55078125</v>
      </c>
      <c r="D233" s="36">
        <v>-2.0191906549854029E-2</v>
      </c>
      <c r="E233" s="36">
        <v>1.5710439534229789E-2</v>
      </c>
    </row>
    <row r="234" spans="1:5" x14ac:dyDescent="0.3">
      <c r="A234" s="57">
        <f>Beta!A234</f>
        <v>46027</v>
      </c>
      <c r="B234" s="44">
        <f>Beta!B234</f>
        <v>217.5236511230469</v>
      </c>
      <c r="C234" s="44">
        <f>Beta!C234</f>
        <v>25683.30078125</v>
      </c>
      <c r="D234" s="36">
        <v>3.602145959294889E-2</v>
      </c>
      <c r="E234" s="36">
        <v>1.6788377719033409E-2</v>
      </c>
    </row>
    <row r="235" spans="1:5" x14ac:dyDescent="0.3">
      <c r="A235" s="57">
        <f>Beta!A235</f>
        <v>46034</v>
      </c>
      <c r="B235" s="44">
        <f>Beta!B235</f>
        <v>215.44316101074219</v>
      </c>
      <c r="C235" s="44">
        <f>Beta!C235</f>
        <v>25694.349609375</v>
      </c>
      <c r="D235" s="36">
        <v>-4.9317770836758701E-3</v>
      </c>
      <c r="E235" s="36">
        <v>3.317824979376605E-3</v>
      </c>
    </row>
    <row r="236" spans="1:5" x14ac:dyDescent="0.3">
      <c r="A236" s="57">
        <f>Beta!A236</f>
        <v>46041</v>
      </c>
      <c r="B236" s="44">
        <f>Beta!B236</f>
        <v>210.84423828125</v>
      </c>
      <c r="C236" s="44">
        <f>Beta!C236</f>
        <v>25048.650390625</v>
      </c>
      <c r="D236" s="36">
        <v>-3.5767388072030393E-2</v>
      </c>
      <c r="E236" s="36">
        <v>-2.831957951156205E-3</v>
      </c>
    </row>
    <row r="237" spans="1:5" x14ac:dyDescent="0.3">
      <c r="A237" s="57">
        <f>Beta!A237</f>
        <v>46048</v>
      </c>
      <c r="B237" s="44">
        <f>Beta!B237</f>
        <v>213.49211120605469</v>
      </c>
      <c r="C237" s="44">
        <f>Beta!C237</f>
        <v>24825.44921875</v>
      </c>
      <c r="D237" s="36">
        <v>5.4998714983294672E-2</v>
      </c>
      <c r="E237" s="36">
        <v>-8.9339063146013364E-3</v>
      </c>
    </row>
    <row r="238" spans="1:5" x14ac:dyDescent="0.3">
      <c r="A238" s="57">
        <f>Beta!A238</f>
        <v>46055</v>
      </c>
      <c r="B238" s="44">
        <f>Beta!B238</f>
        <v>214.4477233886719</v>
      </c>
      <c r="C238" s="44">
        <f>Beta!C238</f>
        <v>25693.69921875</v>
      </c>
      <c r="D238" s="36">
        <v>-5.7490864799025543E-2</v>
      </c>
      <c r="E238" s="36">
        <v>1.638730076130512E-2</v>
      </c>
    </row>
    <row r="239" spans="1:5" x14ac:dyDescent="0.3">
      <c r="A239" s="57">
        <f>Beta!A239</f>
        <v>46062</v>
      </c>
      <c r="B239" s="44">
        <f>Beta!B239</f>
        <v>216.4700012207031</v>
      </c>
      <c r="C239" s="44">
        <f>Beta!C239</f>
        <v>25471.099609375</v>
      </c>
      <c r="D239" s="36">
        <v>1.6369432239164981E-3</v>
      </c>
      <c r="E239" s="36">
        <v>6.1018641263879134E-3</v>
      </c>
    </row>
    <row r="240" spans="1:5" x14ac:dyDescent="0.3">
      <c r="A240" s="57">
        <f>Beta!A240</f>
        <v>46069</v>
      </c>
      <c r="B240" s="44">
        <f>Beta!B240</f>
        <v>213.47999572753909</v>
      </c>
      <c r="C240" s="44">
        <f>Beta!C240</f>
        <v>25571.25</v>
      </c>
      <c r="D240" s="36">
        <v>5.6769310166866482E-3</v>
      </c>
      <c r="E240" s="36">
        <v>5.1710162057940767E-3</v>
      </c>
    </row>
    <row r="241" spans="1:5" x14ac:dyDescent="0.3">
      <c r="A241" s="57">
        <f>Beta!A241</f>
        <v>46076</v>
      </c>
      <c r="B241" s="44">
        <f>Beta!B241</f>
        <v>214.21000671386719</v>
      </c>
      <c r="C241" s="44">
        <f>Beta!C241</f>
        <v>25178.650390625</v>
      </c>
      <c r="D241" s="36">
        <v>1.967157030448163E-2</v>
      </c>
      <c r="E241" s="36">
        <v>-6.2970010979501723E-4</v>
      </c>
    </row>
    <row r="242" spans="1:5" x14ac:dyDescent="0.3">
      <c r="A242" s="57">
        <f>Beta!A242</f>
        <v>46083</v>
      </c>
      <c r="B242" s="44">
        <f>Beta!B242</f>
        <v>203.96000671386719</v>
      </c>
      <c r="C242" s="44">
        <f>Beta!C242</f>
        <v>24450.44921875</v>
      </c>
      <c r="D242" s="36">
        <v>-7.6329474920315832E-3</v>
      </c>
      <c r="E242" s="36">
        <v>-5.3271827285432671E-3</v>
      </c>
    </row>
    <row r="243" spans="1:5" x14ac:dyDescent="0.3">
      <c r="A243" s="57">
        <f>Beta!A243</f>
        <v>46090</v>
      </c>
      <c r="B243" s="44">
        <f>Beta!B243</f>
        <v>204.92999267578119</v>
      </c>
      <c r="C243" s="44">
        <f>Beta!C243</f>
        <v>23151.099609375</v>
      </c>
      <c r="D243" s="36">
        <v>3.1696390837629977E-2</v>
      </c>
      <c r="E243" s="36">
        <v>-3.0924476969846899E-3</v>
      </c>
    </row>
    <row r="244" spans="1:5" x14ac:dyDescent="0.3">
      <c r="A244" s="57">
        <f>Beta!A244</f>
        <v>46097</v>
      </c>
      <c r="B244" s="44">
        <f>Beta!B244</f>
        <v>216.38999938964841</v>
      </c>
      <c r="C244" s="44">
        <f>Beta!C244</f>
        <v>23114.5</v>
      </c>
      <c r="D244" s="36">
        <v>-1.155169588726856E-2</v>
      </c>
      <c r="E244" s="36">
        <v>2.9230231947130481E-3</v>
      </c>
    </row>
    <row r="245" spans="1:5" x14ac:dyDescent="0.3">
      <c r="A245" s="57">
        <f>Beta!A245</f>
        <v>46104</v>
      </c>
      <c r="B245" s="44">
        <f>Beta!B245</f>
        <v>206.7200012207031</v>
      </c>
      <c r="C245" s="44">
        <f>Beta!C245</f>
        <v>22819.599609375</v>
      </c>
      <c r="D245" s="36">
        <v>-7.9569001243265935E-3</v>
      </c>
      <c r="E245" s="36">
        <v>1.099173235131734E-2</v>
      </c>
    </row>
    <row r="246" spans="1:5" x14ac:dyDescent="0.3">
      <c r="A246" s="57">
        <f>Beta!A246</f>
        <v>46111</v>
      </c>
      <c r="B246" s="44">
        <f>Beta!B246</f>
        <v>206.8800048828125</v>
      </c>
      <c r="C246" s="44">
        <f>Beta!C246</f>
        <v>22713.099609375</v>
      </c>
      <c r="D246" s="36">
        <v>-1.1696883616008069E-3</v>
      </c>
      <c r="E246" s="36">
        <v>-2.4507615529659851E-2</v>
      </c>
    </row>
    <row r="247" spans="1:5" x14ac:dyDescent="0.3">
      <c r="A247" s="57">
        <f>Beta!A247</f>
        <v>46118</v>
      </c>
      <c r="B247" s="44">
        <f>Beta!B247</f>
        <v>216.3999938964844</v>
      </c>
      <c r="C247" s="44">
        <f>Beta!C247</f>
        <v>24050.599609375</v>
      </c>
      <c r="D247" s="36">
        <v>-1.321622751986617E-2</v>
      </c>
      <c r="E247" s="36">
        <v>4.3019502123597952E-4</v>
      </c>
    </row>
    <row r="248" spans="1:5" x14ac:dyDescent="0.3">
      <c r="A248" s="57">
        <f>Beta!A248</f>
        <v>46125</v>
      </c>
      <c r="B248" s="44">
        <f>Beta!B248</f>
        <v>222.36000061035159</v>
      </c>
      <c r="C248" s="44">
        <f>Beta!C248</f>
        <v>24353.55078125</v>
      </c>
      <c r="D248" s="36">
        <v>-1.0765448842926181E-2</v>
      </c>
      <c r="E248" s="36">
        <v>-2.51300082923448E-2</v>
      </c>
    </row>
    <row r="249" spans="1:5" x14ac:dyDescent="0.3">
      <c r="A249" s="57">
        <f>Beta!A249</f>
        <v>46132</v>
      </c>
      <c r="B249" s="44">
        <f>Beta!B249</f>
        <v>231.75</v>
      </c>
      <c r="C249" s="44">
        <f>Beta!C249</f>
        <v>23897.94921875</v>
      </c>
      <c r="D249" s="36">
        <v>-1.32819194515853E-2</v>
      </c>
      <c r="E249" s="36">
        <v>-8.9107065009194075E-3</v>
      </c>
    </row>
    <row r="250" spans="1:5" x14ac:dyDescent="0.3">
      <c r="A250" s="57">
        <f>Beta!A250</f>
        <v>46139</v>
      </c>
      <c r="B250" s="44">
        <f>Beta!B250</f>
        <v>230.28999328613281</v>
      </c>
      <c r="C250" s="44">
        <f>Beta!C250</f>
        <v>23997.55078125</v>
      </c>
      <c r="D250" s="36">
        <v>2.6660877116804201E-2</v>
      </c>
      <c r="E250" s="36">
        <v>3.4974190893763753E-2</v>
      </c>
    </row>
    <row r="251" spans="1:5" x14ac:dyDescent="0.3">
      <c r="A251" s="57">
        <f>Beta!A251</f>
        <v>46146</v>
      </c>
      <c r="B251" s="44">
        <f>Beta!B251</f>
        <v>236.44999694824219</v>
      </c>
      <c r="C251" s="44">
        <f>Beta!C251</f>
        <v>24176.150390625</v>
      </c>
      <c r="D251" s="36">
        <v>1.1757739807139121E-2</v>
      </c>
      <c r="E251" s="36">
        <v>-8.6635874219527231E-3</v>
      </c>
    </row>
    <row r="252" spans="1:5" x14ac:dyDescent="0.3">
      <c r="A252" s="57">
        <f>Beta!A252</f>
        <v>46153</v>
      </c>
      <c r="B252" s="44">
        <f>Beta!B252</f>
        <v>215.1199951171875</v>
      </c>
      <c r="C252" s="44">
        <f>Beta!C252</f>
        <v>23643.5</v>
      </c>
      <c r="D252" s="36">
        <v>1.973079173982106E-2</v>
      </c>
      <c r="E252" s="36">
        <v>3.9319225381277967E-3</v>
      </c>
    </row>
    <row r="253" spans="1:5" x14ac:dyDescent="0.3">
      <c r="A253" s="57">
        <f>Beta!A253</f>
        <v>46160</v>
      </c>
      <c r="B253" s="44">
        <f>Beta!B253</f>
        <v>220.99000549316409</v>
      </c>
      <c r="C253" s="44">
        <f>Beta!C253</f>
        <v>23719.30078125</v>
      </c>
      <c r="D253" s="36">
        <v>-1.574157579732716E-2</v>
      </c>
      <c r="E253" s="36">
        <v>-1.535316456469671E-2</v>
      </c>
    </row>
    <row r="254" spans="1:5" x14ac:dyDescent="0.3">
      <c r="A254" s="57">
        <f>Beta!A254</f>
        <v>46167</v>
      </c>
      <c r="B254" s="44">
        <f>Beta!B254</f>
        <v>217.94999694824219</v>
      </c>
      <c r="C254" s="44">
        <f>Beta!C254</f>
        <v>23547.75</v>
      </c>
      <c r="D254" s="36">
        <v>-3.2486463973344648E-3</v>
      </c>
      <c r="E254" s="36">
        <v>-2.8921374282480872E-2</v>
      </c>
    </row>
    <row r="255" spans="1:5" x14ac:dyDescent="0.3">
      <c r="A255" s="57">
        <f>Beta!A255</f>
        <v>46174</v>
      </c>
      <c r="B255" s="44">
        <f>Beta!B255</f>
        <v>209.05999755859381</v>
      </c>
      <c r="C255" s="44">
        <f>Beta!C255</f>
        <v>23366.69921875</v>
      </c>
      <c r="D255" s="36">
        <v>-2.9165970249039001E-2</v>
      </c>
      <c r="E255" s="36">
        <v>-5.3142156929312567E-2</v>
      </c>
    </row>
    <row r="256" spans="1:5" x14ac:dyDescent="0.3">
      <c r="A256" s="57">
        <f>Beta!A256</f>
        <v>46181</v>
      </c>
      <c r="B256" s="44">
        <f>Beta!B256</f>
        <v>218.57000732421881</v>
      </c>
      <c r="C256" s="44">
        <f>Beta!C256</f>
        <v>23622.900390625</v>
      </c>
      <c r="D256" s="36">
        <v>-3.271068262029786E-2</v>
      </c>
      <c r="E256" s="36">
        <v>-1.580901555111369E-3</v>
      </c>
    </row>
    <row r="257" spans="1:5" x14ac:dyDescent="0.3">
      <c r="A257" s="57">
        <f>Beta!A257</f>
        <v>46188</v>
      </c>
      <c r="B257" s="44">
        <f>Beta!B257</f>
        <v>213.25</v>
      </c>
      <c r="C257" s="44">
        <f>Beta!C257</f>
        <v>24013.099609375</v>
      </c>
      <c r="D257" s="36">
        <v>-2.1091038533416429E-2</v>
      </c>
      <c r="E257" s="36">
        <v>-1.275824225594324E-2</v>
      </c>
    </row>
    <row r="258" spans="1:5" x14ac:dyDescent="0.3">
      <c r="A258" s="57">
        <f>Beta!A258</f>
        <v>46195</v>
      </c>
      <c r="B258" s="44">
        <f>Beta!B258</f>
        <v>210.6499938964844</v>
      </c>
      <c r="C258" s="44">
        <f>Beta!C258</f>
        <v>24056</v>
      </c>
      <c r="D258" s="36">
        <v>-1.0545454545454519E-2</v>
      </c>
      <c r="E258" s="36">
        <v>-4.6670406940990672E-3</v>
      </c>
    </row>
    <row r="259" spans="1:5" x14ac:dyDescent="0.3">
      <c r="A259" s="57">
        <f>Beta!A259</f>
        <v>46202</v>
      </c>
      <c r="B259" s="44">
        <f>Beta!B259</f>
        <v>209.69000244140619</v>
      </c>
      <c r="C259" s="44">
        <f>Beta!C259</f>
        <v>24270.849609375</v>
      </c>
      <c r="D259" s="36">
        <v>2.1223814773980051E-2</v>
      </c>
      <c r="E259" s="36">
        <v>5.888672277243634E-2</v>
      </c>
    </row>
    <row r="260" spans="1:5" x14ac:dyDescent="0.3">
      <c r="A260" s="57">
        <f>Beta!A260</f>
        <v>46209</v>
      </c>
      <c r="B260" s="44">
        <f>Beta!B260</f>
        <v>205.25999450683591</v>
      </c>
      <c r="C260" s="44">
        <f>Beta!C260</f>
        <v>24206.900390625</v>
      </c>
      <c r="D260" s="36">
        <v>3.2028789923526757E-2</v>
      </c>
      <c r="E260" s="36">
        <v>1.25964082723704E-2</v>
      </c>
    </row>
    <row r="261" spans="1:5" x14ac:dyDescent="0.3">
      <c r="A261" s="57">
        <f>Beta!A261</f>
        <v>46216</v>
      </c>
      <c r="B261" s="44">
        <f>Beta!B261</f>
        <v>205.44999694824219</v>
      </c>
      <c r="C261" s="44">
        <f>Beta!C261</f>
        <v>24334.30078125</v>
      </c>
      <c r="D261" s="36">
        <v>-8.7176357771767687E-4</v>
      </c>
      <c r="E261" s="36">
        <v>-1.8707808425651451E-2</v>
      </c>
    </row>
    <row r="262" spans="1:5" x14ac:dyDescent="0.3">
      <c r="A262" s="57">
        <f>Beta!A262</f>
        <v>46223</v>
      </c>
      <c r="B262" s="44">
        <f>Beta!B262</f>
        <v>204.8800048828125</v>
      </c>
      <c r="C262" s="44">
        <f>Beta!C262</f>
        <v>23767.44921875</v>
      </c>
      <c r="D262" s="36">
        <v>-7.8527179129217473E-4</v>
      </c>
      <c r="E262" s="36">
        <v>4.1677870175509391E-3</v>
      </c>
    </row>
    <row r="263" spans="1:5" x14ac:dyDescent="0.3">
      <c r="A263" s="57">
        <f>Beta!A263</f>
        <v>46230</v>
      </c>
      <c r="B263" s="44">
        <f>Beta!B263</f>
        <v>202.5299987792969</v>
      </c>
      <c r="C263" s="44">
        <f>Beta!C263</f>
        <v>24383.599609375</v>
      </c>
      <c r="D263" s="36">
        <v>-3.597624869018512E-2</v>
      </c>
      <c r="E263" s="36">
        <v>7.442409894369062E-3</v>
      </c>
    </row>
    <row r="264" spans="1:5" x14ac:dyDescent="0.3">
      <c r="A264" s="57">
        <f>Beta!A264</f>
        <v>46237</v>
      </c>
      <c r="B264" s="44">
        <f>Beta!B264</f>
        <v>203.7200012207031</v>
      </c>
      <c r="C264" s="44">
        <f>Beta!C264</f>
        <v>24614.900390625</v>
      </c>
      <c r="D264" s="36">
        <f>B264/B263-1</f>
        <v>5.8756848297962794E-3</v>
      </c>
      <c r="E264" s="36">
        <f>C264/C263-1</f>
        <v>9.4859161467313324E-3</v>
      </c>
    </row>
    <row r="265" spans="1:5" x14ac:dyDescent="0.3">
      <c r="A265" s="57" cm="1">
        <f t="array" ref="A265:C265">Beta!A265:C265</f>
        <v>46244</v>
      </c>
      <c r="B265" s="44">
        <v>198.94</v>
      </c>
      <c r="C265" s="44">
        <v>24583.8</v>
      </c>
      <c r="D265" s="36">
        <f>B265/B264-1</f>
        <v>-2.3463583310725622E-2</v>
      </c>
      <c r="E265" s="36">
        <f>C265/C264-1</f>
        <v>-1.2634782238178932E-3</v>
      </c>
    </row>
    <row r="266" spans="1:5" x14ac:dyDescent="0.3">
      <c r="A266" s="57"/>
      <c r="B266" s="44"/>
      <c r="C266" s="44"/>
      <c r="D266" s="36"/>
      <c r="E266" s="36"/>
    </row>
    <row r="267" spans="1:5" x14ac:dyDescent="0.3">
      <c r="A267" s="57"/>
      <c r="B267" s="44"/>
      <c r="C267" s="44"/>
      <c r="D267" s="36"/>
      <c r="E267" s="36"/>
    </row>
    <row r="268" spans="1:5" x14ac:dyDescent="0.3">
      <c r="A268" s="57"/>
      <c r="B268" s="44"/>
      <c r="C268" s="44"/>
      <c r="D268" s="36"/>
      <c r="E268" s="36"/>
    </row>
    <row r="269" spans="1:5" x14ac:dyDescent="0.3">
      <c r="A269" s="57"/>
      <c r="B269" s="44"/>
      <c r="C269" s="44"/>
      <c r="D269" s="36"/>
      <c r="E269" s="36"/>
    </row>
    <row r="270" spans="1:5" x14ac:dyDescent="0.3">
      <c r="A270" s="57"/>
      <c r="B270" s="44"/>
      <c r="C270" s="44"/>
      <c r="D270" s="36"/>
      <c r="E270" s="36"/>
    </row>
    <row r="271" spans="1:5" x14ac:dyDescent="0.3">
      <c r="A271" s="57"/>
      <c r="B271" s="44"/>
      <c r="C271" s="44"/>
      <c r="D271" s="36"/>
      <c r="E271" s="36"/>
    </row>
    <row r="272" spans="1:5" x14ac:dyDescent="0.3">
      <c r="A272" s="57"/>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DAC91-FB39-4B66-8B69-27EA4EFD8A4B}">
  <dimension ref="A1:Q13"/>
  <sheetViews>
    <sheetView showGridLines="0" topLeftCell="A5" zoomScale="82" zoomScaleNormal="145" workbookViewId="0">
      <selection activeCell="O31" sqref="O31"/>
    </sheetView>
  </sheetViews>
  <sheetFormatPr defaultColWidth="11.77734375" defaultRowHeight="14.4" x14ac:dyDescent="0.3"/>
  <cols>
    <col min="1" max="3" width="1.33203125" customWidth="1"/>
    <col min="4" max="4" width="26.44140625" customWidth="1"/>
    <col min="5" max="6" width="12.77734375" customWidth="1"/>
    <col min="7" max="7" width="2.77734375" customWidth="1"/>
    <col min="10" max="10" width="12.88671875" bestFit="1" customWidth="1"/>
  </cols>
  <sheetData>
    <row r="1" spans="1:17" ht="32.4" x14ac:dyDescent="0.6">
      <c r="A1" s="3" t="s">
        <v>23</v>
      </c>
      <c r="B1" s="4"/>
      <c r="C1" s="4"/>
      <c r="D1" s="5"/>
      <c r="E1" s="5"/>
      <c r="F1" s="5"/>
      <c r="G1" s="5"/>
      <c r="H1" s="5"/>
      <c r="I1" s="5"/>
      <c r="J1" s="5"/>
      <c r="K1" s="5"/>
      <c r="L1" s="5"/>
      <c r="M1" s="5"/>
      <c r="N1" s="5"/>
      <c r="O1" s="5"/>
      <c r="P1" s="5"/>
      <c r="Q1" s="5"/>
    </row>
    <row r="2" spans="1:17" ht="23.4" x14ac:dyDescent="0.45">
      <c r="A2" s="61" t="s">
        <v>316</v>
      </c>
      <c r="B2" s="13"/>
      <c r="C2" s="4"/>
      <c r="D2" s="5"/>
      <c r="E2" s="5"/>
      <c r="F2" s="5"/>
      <c r="G2" s="5"/>
      <c r="H2" s="5"/>
      <c r="I2" s="5"/>
      <c r="J2" s="5"/>
      <c r="K2" s="5"/>
      <c r="L2" s="5"/>
      <c r="M2" s="5"/>
      <c r="N2" s="5"/>
      <c r="O2" s="5"/>
      <c r="P2" s="5"/>
      <c r="Q2" s="5"/>
    </row>
    <row r="3" spans="1:17" x14ac:dyDescent="0.3">
      <c r="A3" s="1"/>
      <c r="B3" s="1"/>
      <c r="C3" s="1"/>
    </row>
    <row r="4" spans="1:17" x14ac:dyDescent="0.3">
      <c r="A4" s="1"/>
      <c r="B4" s="1"/>
      <c r="C4" s="16"/>
      <c r="E4" s="2"/>
      <c r="H4" s="2"/>
      <c r="I4" s="2"/>
      <c r="J4" s="2"/>
      <c r="K4" s="2"/>
      <c r="L4" s="2"/>
      <c r="M4" s="2"/>
      <c r="N4" s="2"/>
      <c r="O4" s="2"/>
      <c r="P4" s="2"/>
      <c r="Q4" s="2"/>
    </row>
    <row r="5" spans="1:17" ht="19.8" x14ac:dyDescent="0.4">
      <c r="A5" s="12" t="s">
        <v>315</v>
      </c>
      <c r="B5" s="13"/>
      <c r="C5" s="13"/>
      <c r="D5" s="6"/>
      <c r="E5" s="6"/>
      <c r="F5" s="6"/>
      <c r="G5" s="6"/>
      <c r="H5" s="48"/>
      <c r="I5" s="48"/>
      <c r="J5" s="48"/>
      <c r="K5" s="48"/>
      <c r="L5" s="48"/>
      <c r="M5" s="48"/>
      <c r="N5" s="48"/>
      <c r="O5" s="48"/>
      <c r="P5" s="48"/>
      <c r="Q5" s="48"/>
    </row>
    <row r="6" spans="1:17" x14ac:dyDescent="0.3">
      <c r="E6" s="34"/>
    </row>
    <row r="7" spans="1:17" x14ac:dyDescent="0.3">
      <c r="D7" s="2"/>
      <c r="E7" s="34"/>
      <c r="H7" s="2" t="s">
        <v>169</v>
      </c>
      <c r="I7" s="2" t="s">
        <v>317</v>
      </c>
      <c r="J7" s="2" t="s">
        <v>318</v>
      </c>
      <c r="K7" s="2" t="s">
        <v>319</v>
      </c>
    </row>
    <row r="8" spans="1:17" x14ac:dyDescent="0.3">
      <c r="D8" s="2" t="s">
        <v>320</v>
      </c>
      <c r="E8" s="148"/>
      <c r="H8" s="151">
        <f>MAX(Comps!L28:L30)</f>
        <v>355.64591206806756</v>
      </c>
      <c r="I8" s="151">
        <v>452.14572061632515</v>
      </c>
      <c r="J8" s="151">
        <f>'Market Data'!H11</f>
        <v>272.20318603515619</v>
      </c>
      <c r="K8" s="151">
        <v>375</v>
      </c>
    </row>
    <row r="9" spans="1:17" x14ac:dyDescent="0.3">
      <c r="D9" s="2" t="s">
        <v>320</v>
      </c>
      <c r="H9" s="151">
        <v>355.64591206806756</v>
      </c>
      <c r="I9" s="151">
        <v>452.14572061632515</v>
      </c>
      <c r="J9" s="151">
        <v>272.20318603515619</v>
      </c>
      <c r="K9" s="151">
        <v>375</v>
      </c>
    </row>
    <row r="10" spans="1:17" x14ac:dyDescent="0.3">
      <c r="D10" s="2" t="s">
        <v>321</v>
      </c>
      <c r="E10" s="147"/>
      <c r="H10" s="151">
        <f>MIN(Comps!L28:L30)</f>
        <v>267.67477122454488</v>
      </c>
      <c r="I10" s="151">
        <v>207.76965929694165</v>
      </c>
      <c r="J10" s="151">
        <v>198.94</v>
      </c>
      <c r="K10" s="151">
        <v>187</v>
      </c>
    </row>
    <row r="11" spans="1:17" x14ac:dyDescent="0.3">
      <c r="D11" s="2" t="s">
        <v>321</v>
      </c>
      <c r="H11" s="151">
        <v>267.67477122454488</v>
      </c>
      <c r="I11" s="151">
        <v>207.76965929694165</v>
      </c>
      <c r="J11" s="151">
        <v>198.94</v>
      </c>
      <c r="K11" s="151">
        <v>187</v>
      </c>
    </row>
    <row r="13" spans="1:17" ht="19.8" x14ac:dyDescent="0.4">
      <c r="A13" s="12" t="s">
        <v>324</v>
      </c>
      <c r="B13" s="13"/>
      <c r="C13" s="13"/>
      <c r="D13" s="6"/>
      <c r="E13" s="6"/>
      <c r="F13" s="6"/>
      <c r="G13" s="6"/>
      <c r="H13" s="48"/>
      <c r="I13" s="48"/>
      <c r="J13" s="48"/>
      <c r="K13" s="48"/>
      <c r="L13" s="48"/>
      <c r="M13" s="48"/>
      <c r="N13" s="48"/>
      <c r="O13" s="48"/>
      <c r="P13" s="48"/>
      <c r="Q13" s="48"/>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9A5F0F3-0C9F-4FA8-A547-CD7827B7DF9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3</vt:i4>
      </vt:variant>
    </vt:vector>
  </HeadingPairs>
  <TitlesOfParts>
    <vt:vector size="15" baseType="lpstr">
      <vt:lpstr>Index </vt:lpstr>
      <vt:lpstr>Assumptions</vt:lpstr>
      <vt:lpstr>Historical</vt:lpstr>
      <vt:lpstr>Model</vt:lpstr>
      <vt:lpstr>Ratio Analysis</vt:lpstr>
      <vt:lpstr>Scenario Analysis</vt:lpstr>
      <vt:lpstr>Comp Data</vt:lpstr>
      <vt:lpstr>Comps</vt:lpstr>
      <vt:lpstr>WACC</vt:lpstr>
      <vt:lpstr>Beta</vt:lpstr>
      <vt:lpstr>Market Data</vt:lpstr>
      <vt:lpstr>Football Field Analysis</vt:lpstr>
      <vt:lpstr>Perpetual_Growth_Rate</vt:lpstr>
      <vt:lpstr>Riskfreerate</vt:lpstr>
      <vt:lpstr>WACC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anuj patel</cp:lastModifiedBy>
  <cp:revision>0</cp:revision>
  <dcterms:created xsi:type="dcterms:W3CDTF">2026-05-06T12:20:10Z</dcterms:created>
  <dcterms:modified xsi:type="dcterms:W3CDTF">2026-08-10T20:58:22Z</dcterms:modified>
  <dc:language>en-US</dc:language>
</cp:coreProperties>
</file>